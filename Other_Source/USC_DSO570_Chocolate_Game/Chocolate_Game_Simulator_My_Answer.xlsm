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ode\coding_notes\Other_Source\USC_DSO570_Chocolate_Game\"/>
    </mc:Choice>
  </mc:AlternateContent>
  <xr:revisionPtr revIDLastSave="0" documentId="13_ncr:1_{10417E4F-60D4-4616-9C50-434D902F1D30}" xr6:coauthVersionLast="46" xr6:coauthVersionMax="46" xr10:uidLastSave="{00000000-0000-0000-0000-000000000000}"/>
  <bookViews>
    <workbookView xWindow="-108" yWindow="-108" windowWidth="23256" windowHeight="12576" xr2:uid="{CA6E0A6C-FC4D-3D48-A647-16E59C0760A4}"/>
  </bookViews>
  <sheets>
    <sheet name="Simulator" sheetId="2" r:id="rId1"/>
    <sheet name="Strategy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3" i="2" l="1"/>
  <c r="C3" i="2"/>
  <c r="N10" i="2"/>
  <c r="N11" i="2" s="1"/>
  <c r="V10" i="2"/>
  <c r="O10" i="2"/>
  <c r="P10" i="2"/>
  <c r="Q10" i="2"/>
  <c r="R10" i="2"/>
  <c r="S10" i="2"/>
  <c r="T10" i="2"/>
  <c r="U10" i="2"/>
  <c r="E28" i="2" a="1"/>
  <c r="E3" i="2" a="1"/>
  <c r="E3" i="2" l="1"/>
  <c r="F3" i="2" s="1"/>
  <c r="G3" i="2" s="1"/>
  <c r="J3" i="2" s="1"/>
  <c r="C4" i="2" s="1"/>
  <c r="E28" i="2"/>
  <c r="F28" i="2" s="1"/>
  <c r="E29" i="2" a="1"/>
  <c r="H3" i="2" l="1"/>
  <c r="I3" i="2" s="1"/>
  <c r="E29" i="2"/>
  <c r="F29" i="2" s="1"/>
  <c r="E30" i="2" a="1"/>
  <c r="E30" i="2" l="1"/>
  <c r="F30" i="2" s="1"/>
  <c r="E31" i="2" a="1"/>
  <c r="E31" i="2" l="1"/>
  <c r="F31" i="2" s="1"/>
  <c r="E32" i="2" a="1"/>
  <c r="E32" i="2" l="1"/>
  <c r="F32" i="2" s="1"/>
  <c r="G32" i="2" s="1"/>
  <c r="W6" i="2"/>
  <c r="U7" i="2" s="1"/>
  <c r="W3" i="2"/>
  <c r="V4" i="2" s="1"/>
  <c r="E27" i="2" a="1"/>
  <c r="E26" i="2" a="1"/>
  <c r="E25" i="2" a="1"/>
  <c r="E24" i="2" a="1"/>
  <c r="E23" i="2" a="1"/>
  <c r="E22" i="2" a="1"/>
  <c r="E21" i="2" a="1"/>
  <c r="E20" i="2" a="1"/>
  <c r="E19" i="2" a="1"/>
  <c r="E18" i="2" a="1"/>
  <c r="E17" i="2" a="1"/>
  <c r="E16" i="2" a="1"/>
  <c r="E15" i="2" a="1"/>
  <c r="E14" i="2" a="1"/>
  <c r="E13" i="2" a="1"/>
  <c r="E12" i="2" a="1"/>
  <c r="E11" i="2" a="1"/>
  <c r="E10" i="2" a="1"/>
  <c r="E9" i="2" a="1"/>
  <c r="E8" i="2" a="1"/>
  <c r="E7" i="2" a="1"/>
  <c r="E6" i="2" a="1"/>
  <c r="E5" i="2" a="1"/>
  <c r="E4" i="2" a="1"/>
  <c r="H32" i="2" l="1"/>
  <c r="I32" i="2" s="1"/>
  <c r="J32" i="2"/>
  <c r="E24" i="2"/>
  <c r="F24" i="2" s="1"/>
  <c r="E25" i="2"/>
  <c r="F25" i="2" s="1"/>
  <c r="E27" i="2"/>
  <c r="F27" i="2" s="1"/>
  <c r="E26" i="2"/>
  <c r="F26" i="2" s="1"/>
  <c r="E23" i="2"/>
  <c r="F23" i="2" s="1"/>
  <c r="E7" i="2"/>
  <c r="F7" i="2" s="1"/>
  <c r="E11" i="2"/>
  <c r="F11" i="2" s="1"/>
  <c r="E15" i="2"/>
  <c r="F15" i="2" s="1"/>
  <c r="E19" i="2"/>
  <c r="F19" i="2" s="1"/>
  <c r="E12" i="2"/>
  <c r="F12" i="2" s="1"/>
  <c r="E20" i="2"/>
  <c r="F20" i="2" s="1"/>
  <c r="E16" i="2"/>
  <c r="F16" i="2" s="1"/>
  <c r="E8" i="2"/>
  <c r="F8" i="2" s="1"/>
  <c r="E9" i="2"/>
  <c r="F9" i="2" s="1"/>
  <c r="E21" i="2"/>
  <c r="F21" i="2" s="1"/>
  <c r="E6" i="2"/>
  <c r="F6" i="2" s="1"/>
  <c r="E4" i="2"/>
  <c r="F4" i="2" s="1"/>
  <c r="G4" i="2" s="1"/>
  <c r="E5" i="2"/>
  <c r="F5" i="2" s="1"/>
  <c r="E13" i="2"/>
  <c r="F13" i="2" s="1"/>
  <c r="E17" i="2"/>
  <c r="F17" i="2" s="1"/>
  <c r="E10" i="2"/>
  <c r="F10" i="2" s="1"/>
  <c r="E14" i="2"/>
  <c r="F14" i="2" s="1"/>
  <c r="E22" i="2"/>
  <c r="F22" i="2" s="1"/>
  <c r="E18" i="2"/>
  <c r="F18" i="2" s="1"/>
  <c r="Q7" i="2"/>
  <c r="P7" i="2"/>
  <c r="O7" i="2"/>
  <c r="O8" i="2" s="1"/>
  <c r="O9" i="2" s="1"/>
  <c r="O11" i="2" s="1"/>
  <c r="T7" i="2"/>
  <c r="R7" i="2"/>
  <c r="V7" i="2"/>
  <c r="S7" i="2"/>
  <c r="O4" i="2"/>
  <c r="O5" i="2" s="1"/>
  <c r="P4" i="2"/>
  <c r="Q4" i="2"/>
  <c r="R4" i="2"/>
  <c r="S4" i="2"/>
  <c r="T4" i="2"/>
  <c r="U4" i="2"/>
  <c r="H4" i="2" l="1"/>
  <c r="I4" i="2" s="1"/>
  <c r="J4" i="2"/>
  <c r="C5" i="2" s="1"/>
  <c r="G5" i="2" s="1"/>
  <c r="P8" i="2"/>
  <c r="P9" i="2" s="1"/>
  <c r="P11" i="2" s="1"/>
  <c r="Q8" i="2"/>
  <c r="P5" i="2"/>
  <c r="H5" i="2" l="1"/>
  <c r="I5" i="2" s="1"/>
  <c r="J5" i="2"/>
  <c r="Q5" i="2"/>
  <c r="R8" i="2"/>
  <c r="Q9" i="2"/>
  <c r="Q11" i="2" s="1"/>
  <c r="K3" i="2"/>
  <c r="C6" i="2" l="1"/>
  <c r="G6" i="2" s="1"/>
  <c r="H6" i="2" s="1"/>
  <c r="I6" i="2" s="1"/>
  <c r="R9" i="2"/>
  <c r="R11" i="2" s="1"/>
  <c r="S8" i="2"/>
  <c r="R5" i="2"/>
  <c r="K4" i="2"/>
  <c r="J6" i="2" l="1"/>
  <c r="S5" i="2"/>
  <c r="T8" i="2"/>
  <c r="S9" i="2"/>
  <c r="S11" i="2" s="1"/>
  <c r="K5" i="2"/>
  <c r="C7" i="2" l="1"/>
  <c r="G7" i="2" s="1"/>
  <c r="H7" i="2" s="1"/>
  <c r="I7" i="2" s="1"/>
  <c r="U8" i="2"/>
  <c r="T9" i="2"/>
  <c r="T11" i="2" s="1"/>
  <c r="T5" i="2"/>
  <c r="K6" i="2"/>
  <c r="J7" i="2" l="1"/>
  <c r="K7" i="2" s="1"/>
  <c r="U5" i="2"/>
  <c r="V8" i="2"/>
  <c r="V9" i="2" s="1"/>
  <c r="V11" i="2" s="1"/>
  <c r="U9" i="2"/>
  <c r="U11" i="2" s="1"/>
  <c r="C8" i="2" l="1"/>
  <c r="G8" i="2" s="1"/>
  <c r="H8" i="2" s="1"/>
  <c r="I8" i="2" s="1"/>
  <c r="J8" i="2" l="1"/>
  <c r="C9" i="2" l="1"/>
  <c r="G9" i="2" s="1"/>
  <c r="H9" i="2" s="1"/>
  <c r="I9" i="2" s="1"/>
  <c r="K8" i="2"/>
  <c r="J9" i="2" l="1"/>
  <c r="C10" i="2" l="1"/>
  <c r="G10" i="2" s="1"/>
  <c r="H10" i="2" s="1"/>
  <c r="I10" i="2" s="1"/>
  <c r="K9" i="2"/>
  <c r="J10" i="2" l="1"/>
  <c r="C11" i="2" l="1"/>
  <c r="G11" i="2" s="1"/>
  <c r="H11" i="2" s="1"/>
  <c r="I11" i="2" s="1"/>
  <c r="K10" i="2"/>
  <c r="J11" i="2" l="1"/>
  <c r="K11" i="2" s="1"/>
  <c r="C12" i="2"/>
  <c r="G12" i="2" s="1"/>
  <c r="H12" i="2" s="1"/>
  <c r="I12" i="2" s="1"/>
  <c r="J12" i="2" l="1"/>
  <c r="C13" i="2" l="1"/>
  <c r="G13" i="2" s="1"/>
  <c r="H13" i="2" s="1"/>
  <c r="I13" i="2" s="1"/>
  <c r="K12" i="2"/>
  <c r="J13" i="2" l="1"/>
  <c r="C14" i="2" l="1"/>
  <c r="G14" i="2" s="1"/>
  <c r="H14" i="2" s="1"/>
  <c r="I14" i="2" s="1"/>
  <c r="K13" i="2"/>
  <c r="J14" i="2" l="1"/>
  <c r="C15" i="2" l="1"/>
  <c r="G15" i="2" s="1"/>
  <c r="H15" i="2" s="1"/>
  <c r="I15" i="2" s="1"/>
  <c r="K14" i="2"/>
  <c r="J15" i="2" l="1"/>
  <c r="C16" i="2" l="1"/>
  <c r="G16" i="2" s="1"/>
  <c r="H16" i="2" s="1"/>
  <c r="I16" i="2" s="1"/>
  <c r="K15" i="2"/>
  <c r="J16" i="2" l="1"/>
  <c r="C17" i="2" l="1"/>
  <c r="G17" i="2" s="1"/>
  <c r="H17" i="2" s="1"/>
  <c r="I17" i="2" s="1"/>
  <c r="K16" i="2"/>
  <c r="J17" i="2" l="1"/>
  <c r="C18" i="2" l="1"/>
  <c r="G18" i="2" s="1"/>
  <c r="H18" i="2" s="1"/>
  <c r="I18" i="2" s="1"/>
  <c r="K17" i="2"/>
  <c r="J18" i="2" l="1"/>
  <c r="C19" i="2" l="1"/>
  <c r="G19" i="2" s="1"/>
  <c r="H19" i="2" s="1"/>
  <c r="I19" i="2" s="1"/>
  <c r="K18" i="2"/>
  <c r="J19" i="2" l="1"/>
  <c r="C20" i="2" l="1"/>
  <c r="G20" i="2" s="1"/>
  <c r="H20" i="2" s="1"/>
  <c r="I20" i="2" s="1"/>
  <c r="K19" i="2"/>
  <c r="J20" i="2" l="1"/>
  <c r="C21" i="2" l="1"/>
  <c r="G21" i="2" s="1"/>
  <c r="H21" i="2" s="1"/>
  <c r="I21" i="2" s="1"/>
  <c r="K20" i="2"/>
  <c r="J21" i="2" l="1"/>
  <c r="C22" i="2" l="1"/>
  <c r="G22" i="2" s="1"/>
  <c r="H22" i="2" s="1"/>
  <c r="I22" i="2" s="1"/>
  <c r="K21" i="2"/>
  <c r="J22" i="2" l="1"/>
  <c r="C23" i="2" l="1"/>
  <c r="G23" i="2" s="1"/>
  <c r="H23" i="2" s="1"/>
  <c r="I23" i="2" s="1"/>
  <c r="K22" i="2"/>
  <c r="J23" i="2" l="1"/>
  <c r="C24" i="2" l="1"/>
  <c r="G24" i="2" s="1"/>
  <c r="H24" i="2" s="1"/>
  <c r="I24" i="2" s="1"/>
  <c r="K23" i="2"/>
  <c r="J24" i="2" l="1"/>
  <c r="C25" i="2" l="1"/>
  <c r="G25" i="2" s="1"/>
  <c r="H25" i="2" s="1"/>
  <c r="I25" i="2" s="1"/>
  <c r="K24" i="2"/>
  <c r="J25" i="2" l="1"/>
  <c r="C26" i="2" l="1"/>
  <c r="G26" i="2" s="1"/>
  <c r="H26" i="2" s="1"/>
  <c r="I26" i="2" s="1"/>
  <c r="K25" i="2"/>
  <c r="J26" i="2" l="1"/>
  <c r="C27" i="2" l="1"/>
  <c r="G27" i="2" s="1"/>
  <c r="H27" i="2" s="1"/>
  <c r="I27" i="2" s="1"/>
  <c r="K26" i="2"/>
  <c r="J27" i="2" l="1"/>
  <c r="C28" i="2" l="1"/>
  <c r="G28" i="2" s="1"/>
  <c r="H28" i="2" s="1"/>
  <c r="I28" i="2" s="1"/>
  <c r="K27" i="2"/>
  <c r="J28" i="2" l="1"/>
  <c r="C29" i="2" l="1"/>
  <c r="G29" i="2" s="1"/>
  <c r="H29" i="2" s="1"/>
  <c r="I29" i="2" s="1"/>
  <c r="K28" i="2"/>
  <c r="J29" i="2" l="1"/>
  <c r="C30" i="2" l="1"/>
  <c r="G30" i="2" s="1"/>
  <c r="H30" i="2" s="1"/>
  <c r="I30" i="2" s="1"/>
  <c r="K29" i="2"/>
  <c r="J30" i="2" l="1"/>
  <c r="C31" i="2" l="1"/>
  <c r="G31" i="2" s="1"/>
  <c r="H31" i="2" s="1"/>
  <c r="I31" i="2" s="1"/>
  <c r="K30" i="2"/>
  <c r="J31" i="2" l="1"/>
  <c r="C32" i="2" l="1"/>
  <c r="K32" i="2"/>
  <c r="K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<sst xmlns="http://schemas.openxmlformats.org/spreadsheetml/2006/main" count="89" uniqueCount="29">
  <si>
    <t>Leisure</t>
  </si>
  <si>
    <t>Probability</t>
  </si>
  <si>
    <t>Business</t>
  </si>
  <si>
    <t>WTP in $</t>
  </si>
  <si>
    <t>Customer</t>
  </si>
  <si>
    <t>Type</t>
  </si>
  <si>
    <t>Game Over?</t>
  </si>
  <si>
    <t>Cumulative
Probabilty</t>
  </si>
  <si>
    <t>Cumulative
Probability</t>
  </si>
  <si>
    <t>Your Price</t>
  </si>
  <si>
    <t>Uniform Random Number</t>
  </si>
  <si>
    <t>Confirm Your Price (Y/N)?</t>
  </si>
  <si>
    <t>Confirm</t>
  </si>
  <si>
    <t>N</t>
  </si>
  <si>
    <t>Y</t>
  </si>
  <si>
    <t>Revenue ($)</t>
  </si>
  <si>
    <t>Customer WTP</t>
  </si>
  <si>
    <t>Sales?
(1=yes)</t>
  </si>
  <si>
    <t>Remaining
Inventory</t>
  </si>
  <si>
    <t>Cumulative Revenue ($)</t>
  </si>
  <si>
    <t>Leisure Customer</t>
  </si>
  <si>
    <t>Business Customer</t>
  </si>
  <si>
    <t>WTP Distribution for Leisure and Business Customers</t>
  </si>
  <si>
    <t>Price</t>
  </si>
  <si>
    <t>Expected Value</t>
  </si>
  <si>
    <t>Expected value</t>
  </si>
  <si>
    <t>Customer No.</t>
  </si>
  <si>
    <t>Remaining seats</t>
  </si>
  <si>
    <t>Overall Expected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</si>
</sst>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&quot;$&quot;#,##0"/>
    <numFmt numFmtId="166" formatCode="0.0000"/>
    <numFmt numFmtId="167" formatCode="_(&quot;$&quot;* #,##0_);_(&quot;$&quot;* \(#,##0\);_(&quot;$&quot;* &quot;-&quot;??_);_(@_)"/>
  </numFmts>
  <fonts count="13" x14ac:knownFonts="1"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40FF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40FF"/>
      <name val="Calibri"/>
      <family val="2"/>
      <scheme val="minor"/>
    </font>
    <font>
      <b/>
      <sz val="16"/>
      <color rgb="FF0432FF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D95ED9"/>
      <name val="Calibri"/>
      <family val="2"/>
      <scheme val="minor"/>
    </font>
    <font>
      <sz val="12"/>
      <color rgb="FF0432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85FF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0" borderId="0" xfId="0" applyFont="1"/>
    <xf numFmtId="0" fontId="2" fillId="0" borderId="1" xfId="0" applyFont="1" applyBorder="1" applyAlignment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3" fontId="4" fillId="0" borderId="0" xfId="0" applyNumberFormat="1" applyFont="1" applyBorder="1" applyAlignment="1">
      <alignment horizontal="center" vertical="center"/>
    </xf>
    <xf numFmtId="13" fontId="4" fillId="0" borderId="8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" fontId="5" fillId="0" borderId="0" xfId="0" applyNumberFormat="1" applyFont="1" applyBorder="1" applyAlignment="1">
      <alignment horizontal="center" vertical="center"/>
    </xf>
    <xf numFmtId="13" fontId="5" fillId="0" borderId="0" xfId="0" applyNumberFormat="1" applyFont="1" applyBorder="1" applyAlignment="1">
      <alignment horizontal="right" vertical="center"/>
    </xf>
    <xf numFmtId="13" fontId="5" fillId="0" borderId="8" xfId="0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165" fontId="1" fillId="0" borderId="0" xfId="0" applyNumberFormat="1" applyFont="1"/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8" fillId="0" borderId="12" xfId="0" applyFont="1" applyBorder="1" applyAlignment="1">
      <alignment vertical="center"/>
    </xf>
    <xf numFmtId="0" fontId="0" fillId="2" borderId="12" xfId="0" applyFill="1" applyBorder="1" applyAlignment="1">
      <alignment horizontal="center" vertical="center"/>
    </xf>
    <xf numFmtId="0" fontId="0" fillId="2" borderId="12" xfId="0" applyFill="1" applyBorder="1" applyAlignment="1">
      <alignment vertical="center"/>
    </xf>
    <xf numFmtId="0" fontId="0" fillId="0" borderId="12" xfId="0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/>
    </xf>
    <xf numFmtId="0" fontId="0" fillId="3" borderId="12" xfId="0" applyFill="1" applyBorder="1" applyAlignment="1">
      <alignment vertical="center"/>
    </xf>
    <xf numFmtId="165" fontId="0" fillId="3" borderId="12" xfId="0" applyNumberFormat="1" applyFill="1" applyBorder="1" applyAlignment="1">
      <alignment horizontal="center" vertical="center"/>
    </xf>
    <xf numFmtId="165" fontId="0" fillId="2" borderId="12" xfId="0" applyNumberFormat="1" applyFill="1" applyBorder="1" applyAlignment="1">
      <alignment horizontal="center" vertical="center"/>
    </xf>
    <xf numFmtId="165" fontId="0" fillId="3" borderId="12" xfId="1" applyNumberFormat="1" applyFont="1" applyFill="1" applyBorder="1" applyAlignment="1">
      <alignment horizontal="center" vertical="center"/>
    </xf>
    <xf numFmtId="166" fontId="4" fillId="0" borderId="10" xfId="0" applyNumberFormat="1" applyFont="1" applyBorder="1" applyAlignment="1">
      <alignment horizontal="center" vertical="center"/>
    </xf>
    <xf numFmtId="166" fontId="4" fillId="0" borderId="11" xfId="0" applyNumberFormat="1" applyFont="1" applyBorder="1" applyAlignment="1">
      <alignment horizontal="center" vertical="center"/>
    </xf>
    <xf numFmtId="166" fontId="5" fillId="0" borderId="10" xfId="0" applyNumberFormat="1" applyFont="1" applyBorder="1" applyAlignment="1">
      <alignment horizontal="center" vertical="center"/>
    </xf>
    <xf numFmtId="166" fontId="5" fillId="0" borderId="10" xfId="0" applyNumberFormat="1" applyFont="1" applyBorder="1" applyAlignment="1">
      <alignment horizontal="right" vertical="center"/>
    </xf>
    <xf numFmtId="166" fontId="5" fillId="0" borderId="11" xfId="0" applyNumberFormat="1" applyFon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2" borderId="12" xfId="1" applyNumberFormat="1" applyFont="1" applyFill="1" applyBorder="1" applyAlignment="1">
      <alignment horizontal="center" vertical="center"/>
    </xf>
    <xf numFmtId="167" fontId="3" fillId="0" borderId="2" xfId="1" applyNumberFormat="1" applyFont="1" applyBorder="1" applyAlignment="1">
      <alignment vertical="center"/>
    </xf>
    <xf numFmtId="167" fontId="3" fillId="0" borderId="3" xfId="1" applyNumberFormat="1" applyFont="1" applyBorder="1" applyAlignment="1">
      <alignment vertical="center"/>
    </xf>
    <xf numFmtId="166" fontId="1" fillId="0" borderId="0" xfId="0" applyNumberFormat="1" applyFont="1" applyAlignment="1">
      <alignment vertical="center"/>
    </xf>
    <xf numFmtId="167" fontId="1" fillId="0" borderId="0" xfId="0" applyNumberFormat="1" applyFont="1"/>
    <xf numFmtId="166" fontId="1" fillId="0" borderId="0" xfId="0" applyNumberFormat="1" applyFont="1"/>
    <xf numFmtId="164" fontId="1" fillId="0" borderId="0" xfId="0" applyNumberFormat="1" applyFont="1"/>
    <xf numFmtId="164" fontId="1" fillId="4" borderId="0" xfId="0" applyNumberFormat="1" applyFont="1" applyFill="1"/>
    <xf numFmtId="166" fontId="1" fillId="4" borderId="0" xfId="0" applyNumberFormat="1" applyFont="1" applyFill="1" applyAlignment="1">
      <alignment vertical="center"/>
    </xf>
    <xf numFmtId="167" fontId="1" fillId="4" borderId="0" xfId="0" applyNumberFormat="1" applyFont="1" applyFill="1"/>
    <xf numFmtId="0" fontId="9" fillId="0" borderId="0" xfId="0" applyFont="1"/>
    <xf numFmtId="0" fontId="11" fillId="0" borderId="0" xfId="0" applyFont="1"/>
    <xf numFmtId="0" fontId="10" fillId="0" borderId="0" xfId="0" applyFont="1"/>
    <xf numFmtId="0" fontId="12" fillId="0" borderId="0" xfId="0" applyFont="1"/>
    <xf numFmtId="0" fontId="4" fillId="0" borderId="4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colors>
    <mruColors>
      <color rgb="FFD95ED9"/>
      <color rgb="FF0432FF"/>
      <color rgb="FFFF85FF"/>
      <color rgb="FFFF4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0D854-E5DE-C74B-A827-E4ADF92D54C4}">
  <sheetPr codeName="Sheet2"/>
  <dimension ref="A1:Y32"/>
  <sheetViews>
    <sheetView tabSelected="1" topLeftCell="A25" workbookViewId="0">
      <selection activeCell="D32" sqref="D32"/>
    </sheetView>
  </sheetViews>
  <sheetFormatPr defaultColWidth="10.796875" defaultRowHeight="30" customHeight="1" x14ac:dyDescent="0.4"/>
  <cols>
    <col min="1" max="1" width="5.19921875" style="1" customWidth="1"/>
    <col min="2" max="2" width="8.296875" style="16" bestFit="1" customWidth="1"/>
    <col min="3" max="3" width="6.296875" style="1" customWidth="1"/>
    <col min="4" max="5" width="10.796875" style="1"/>
    <col min="6" max="6" width="9.296875" style="1" customWidth="1"/>
    <col min="7" max="7" width="9.69921875" style="1" bestFit="1" customWidth="1"/>
    <col min="8" max="8" width="10.796875" style="1"/>
    <col min="9" max="9" width="10.296875" style="1" customWidth="1"/>
    <col min="10" max="11" width="10.796875" style="1"/>
    <col min="12" max="12" width="10.796875" style="4"/>
    <col min="13" max="13" width="18" style="4" bestFit="1" customWidth="1"/>
    <col min="14" max="14" width="18.19921875" style="4" customWidth="1"/>
    <col min="15" max="16384" width="10.796875" style="4"/>
  </cols>
  <sheetData>
    <row r="1" spans="1:25" s="1" customFormat="1" ht="52.95" customHeight="1" thickBot="1" x14ac:dyDescent="0.45">
      <c r="A1" s="23" t="s">
        <v>4</v>
      </c>
      <c r="B1" s="24" t="s">
        <v>5</v>
      </c>
      <c r="C1" s="23" t="s">
        <v>9</v>
      </c>
      <c r="D1" s="29" t="s">
        <v>11</v>
      </c>
      <c r="E1" s="29" t="s">
        <v>10</v>
      </c>
      <c r="F1" s="29" t="s">
        <v>16</v>
      </c>
      <c r="G1" s="29" t="s">
        <v>17</v>
      </c>
      <c r="H1" s="25" t="s">
        <v>15</v>
      </c>
      <c r="I1" s="29" t="s">
        <v>19</v>
      </c>
      <c r="J1" s="29" t="s">
        <v>18</v>
      </c>
      <c r="K1" s="25" t="s">
        <v>6</v>
      </c>
      <c r="M1" s="15" t="s">
        <v>22</v>
      </c>
      <c r="N1" s="16"/>
      <c r="Y1" s="4" t="s">
        <v>12</v>
      </c>
    </row>
    <row r="2" spans="1:25" s="1" customFormat="1" ht="30" customHeight="1" thickTop="1" thickBot="1" x14ac:dyDescent="0.45">
      <c r="A2" s="25"/>
      <c r="B2" s="24"/>
      <c r="C2" s="25"/>
      <c r="D2" s="25"/>
      <c r="E2" s="25"/>
      <c r="F2" s="25"/>
      <c r="G2" s="25"/>
      <c r="H2" s="25"/>
      <c r="I2" s="40">
        <v>0</v>
      </c>
      <c r="J2" s="24">
        <v>10</v>
      </c>
      <c r="K2" s="25"/>
      <c r="M2" s="5"/>
      <c r="N2" s="17" t="s">
        <v>3</v>
      </c>
      <c r="O2" s="42">
        <v>5</v>
      </c>
      <c r="P2" s="42">
        <v>7</v>
      </c>
      <c r="Q2" s="42">
        <v>9</v>
      </c>
      <c r="R2" s="42">
        <v>11</v>
      </c>
      <c r="S2" s="42">
        <v>13</v>
      </c>
      <c r="T2" s="42">
        <v>15</v>
      </c>
      <c r="U2" s="42">
        <v>17</v>
      </c>
      <c r="V2" s="43">
        <v>20</v>
      </c>
      <c r="Y2" s="22" t="s">
        <v>13</v>
      </c>
    </row>
    <row r="3" spans="1:25" s="1" customFormat="1" ht="30" customHeight="1" thickTop="1" x14ac:dyDescent="0.4">
      <c r="A3" s="30">
        <v>1</v>
      </c>
      <c r="B3" s="30" t="s">
        <v>0</v>
      </c>
      <c r="C3" s="32">
        <f>INDEX(Strategy!$B$3:$K$32,MATCH(A3,Strategy!$A$3:$A$32,0),MATCH(J2,Strategy!$B$2:$K$2,0))</f>
        <v>15</v>
      </c>
      <c r="D3" s="30" t="s">
        <v>14</v>
      </c>
      <c r="E3" s="31" cm="1">
        <f t="array" ref="E3">IF(ISBLANK(D3),"", MyRand())</f>
        <v>0.7055475115776062</v>
      </c>
      <c r="F3" s="34">
        <f>IF(E3="","",
  IF(E3&lt;$O$5,$O$2,
  IF(E3&lt;$P$5,$P$2,
  IF(E3&lt;$Q$5,$Q$2,
  IF(E3&lt;$R$5,$R$2,
  IF(E3&lt;$S$5,$S$2,
  IF(E3&lt;$T$5,$T$2,
  IF(E3&lt;$U$5,$U$2,
  IF(E3&lt;$V$5,$V$2,"Error!")))))))))</f>
        <v>13</v>
      </c>
      <c r="G3" s="30">
        <f>IF(D3="Y",IF(AND(C3&lt;=F3,J2&gt;=1),1,0),"")</f>
        <v>0</v>
      </c>
      <c r="H3" s="32">
        <f>IF(D3="Y",G3*C3,"")</f>
        <v>0</v>
      </c>
      <c r="I3" s="32">
        <f>IF(D3="Y",H3+I2,"")</f>
        <v>0</v>
      </c>
      <c r="J3" s="30">
        <f>IF(D3="Y",MAX(0,J2-G3),"")</f>
        <v>10</v>
      </c>
      <c r="K3" s="26" t="str">
        <f>IF(AND(J2=1,J3=0),"Game Over", "")</f>
        <v/>
      </c>
      <c r="M3" s="55" t="s">
        <v>20</v>
      </c>
      <c r="N3" s="6"/>
      <c r="O3" s="6">
        <v>6</v>
      </c>
      <c r="P3" s="6">
        <v>5</v>
      </c>
      <c r="Q3" s="6">
        <v>5</v>
      </c>
      <c r="R3" s="6">
        <v>5</v>
      </c>
      <c r="S3" s="6">
        <v>4</v>
      </c>
      <c r="T3" s="6">
        <v>3</v>
      </c>
      <c r="U3" s="6">
        <v>2</v>
      </c>
      <c r="V3" s="7">
        <v>1</v>
      </c>
      <c r="W3" s="2">
        <f>SUM(O3:V3)</f>
        <v>31</v>
      </c>
      <c r="Y3" s="22" t="s">
        <v>14</v>
      </c>
    </row>
    <row r="4" spans="1:25" s="1" customFormat="1" ht="30" customHeight="1" x14ac:dyDescent="0.4">
      <c r="A4" s="30">
        <v>2</v>
      </c>
      <c r="B4" s="30" t="s">
        <v>0</v>
      </c>
      <c r="C4" s="32">
        <f>INDEX(Strategy!$B$3:$K$32,MATCH(A4,Strategy!$A$3:$A$32,0),MATCH(J3,Strategy!$B$2:$K$2,0))</f>
        <v>15</v>
      </c>
      <c r="D4" s="30" t="s">
        <v>14</v>
      </c>
      <c r="E4" s="31" cm="1">
        <f t="array" ref="E4">IF(ISBLANK(D4),"", MyRand())</f>
        <v>0.5334240198135376</v>
      </c>
      <c r="F4" s="34">
        <f t="shared" ref="F4:F22" si="0">IF(E4="","",
  IF(E4&lt;$O$5,$O$2,
  IF(E4&lt;$P$5,$P$2,
  IF(E4&lt;$Q$5,$Q$2,
  IF(E4&lt;$R$5,$R$2,
  IF(E4&lt;$S$5,$S$2,
  IF(E4&lt;$T$5,$T$2,
  IF(E4&lt;$U$5,$U$2,
  IF(E4&lt;$V$5,$V$2,"Error!")))))))))</f>
        <v>11</v>
      </c>
      <c r="G4" s="30">
        <f t="shared" ref="G4:G22" si="1">IF(D4="Y",IF(AND(C4&lt;=F4,J3&gt;=1),1,0),"")</f>
        <v>0</v>
      </c>
      <c r="H4" s="32">
        <f t="shared" ref="H4:H22" si="2">IF(D4="Y",G4*C4,"")</f>
        <v>0</v>
      </c>
      <c r="I4" s="32">
        <f t="shared" ref="I4:I22" si="3">IF(D4="Y",H4+I3,"")</f>
        <v>0</v>
      </c>
      <c r="J4" s="30">
        <f t="shared" ref="J4:J22" si="4">IF(D4="Y",MAX(0,J3-G4),"")</f>
        <v>10</v>
      </c>
      <c r="K4" s="26" t="str">
        <f t="shared" ref="K4:K26" si="5">IF(AND(J3=1,J4=0),"Game Over", "")</f>
        <v/>
      </c>
      <c r="M4" s="56"/>
      <c r="N4" s="18" t="s">
        <v>1</v>
      </c>
      <c r="O4" s="8">
        <f t="shared" ref="O4:V4" si="6">O3/$W3</f>
        <v>0.19354838709677419</v>
      </c>
      <c r="P4" s="8">
        <f t="shared" si="6"/>
        <v>0.16129032258064516</v>
      </c>
      <c r="Q4" s="8">
        <f t="shared" si="6"/>
        <v>0.16129032258064516</v>
      </c>
      <c r="R4" s="8">
        <f t="shared" si="6"/>
        <v>0.16129032258064516</v>
      </c>
      <c r="S4" s="8">
        <f t="shared" si="6"/>
        <v>0.12903225806451613</v>
      </c>
      <c r="T4" s="8">
        <f t="shared" si="6"/>
        <v>9.6774193548387094E-2</v>
      </c>
      <c r="U4" s="8">
        <f t="shared" si="6"/>
        <v>6.4516129032258063E-2</v>
      </c>
      <c r="V4" s="9">
        <f t="shared" si="6"/>
        <v>3.2258064516129031E-2</v>
      </c>
      <c r="Y4" s="22"/>
    </row>
    <row r="5" spans="1:25" s="1" customFormat="1" ht="42.6" thickBot="1" x14ac:dyDescent="0.45">
      <c r="A5" s="30">
        <v>3</v>
      </c>
      <c r="B5" s="30" t="s">
        <v>0</v>
      </c>
      <c r="C5" s="32">
        <f>INDEX(Strategy!$B$3:$K$32,MATCH(A5,Strategy!$A$3:$A$32,0),MATCH(J4,Strategy!$B$2:$K$2,0))</f>
        <v>15</v>
      </c>
      <c r="D5" s="30" t="s">
        <v>14</v>
      </c>
      <c r="E5" s="31" cm="1">
        <f t="array" ref="E5">IF(ISBLANK(D5),"", MyRand())</f>
        <v>0.57951861619949341</v>
      </c>
      <c r="F5" s="34">
        <f t="shared" si="0"/>
        <v>11</v>
      </c>
      <c r="G5" s="30">
        <f t="shared" si="1"/>
        <v>0</v>
      </c>
      <c r="H5" s="32">
        <f t="shared" si="2"/>
        <v>0</v>
      </c>
      <c r="I5" s="32">
        <f t="shared" si="3"/>
        <v>0</v>
      </c>
      <c r="J5" s="30">
        <f t="shared" si="4"/>
        <v>10</v>
      </c>
      <c r="K5" s="26" t="str">
        <f t="shared" si="5"/>
        <v/>
      </c>
      <c r="M5" s="57"/>
      <c r="N5" s="19" t="s">
        <v>7</v>
      </c>
      <c r="O5" s="35">
        <f>O4</f>
        <v>0.19354838709677419</v>
      </c>
      <c r="P5" s="35">
        <f>O5+P4</f>
        <v>0.35483870967741937</v>
      </c>
      <c r="Q5" s="35">
        <f t="shared" ref="Q5:U5" si="7">P5+Q4</f>
        <v>0.5161290322580645</v>
      </c>
      <c r="R5" s="35">
        <f t="shared" si="7"/>
        <v>0.67741935483870963</v>
      </c>
      <c r="S5" s="35">
        <f t="shared" si="7"/>
        <v>0.80645161290322576</v>
      </c>
      <c r="T5" s="35">
        <f t="shared" si="7"/>
        <v>0.90322580645161288</v>
      </c>
      <c r="U5" s="35">
        <f t="shared" si="7"/>
        <v>0.967741935483871</v>
      </c>
      <c r="V5" s="36">
        <v>1</v>
      </c>
      <c r="Y5" s="22"/>
    </row>
    <row r="6" spans="1:25" s="1" customFormat="1" ht="30" customHeight="1" thickTop="1" x14ac:dyDescent="0.4">
      <c r="A6" s="30">
        <v>4</v>
      </c>
      <c r="B6" s="30" t="s">
        <v>0</v>
      </c>
      <c r="C6" s="32">
        <f>INDEX(Strategy!$B$3:$K$32,MATCH(A6,Strategy!$A$3:$A$32,0),MATCH(J5,Strategy!$B$2:$K$2,0))</f>
        <v>15</v>
      </c>
      <c r="D6" s="30" t="s">
        <v>14</v>
      </c>
      <c r="E6" s="31" cm="1">
        <f t="array" ref="E6">IF(ISBLANK(D6),"", MyRand())</f>
        <v>0.28956246376037598</v>
      </c>
      <c r="F6" s="34">
        <f t="shared" si="0"/>
        <v>7</v>
      </c>
      <c r="G6" s="30">
        <f t="shared" si="1"/>
        <v>0</v>
      </c>
      <c r="H6" s="32">
        <f t="shared" si="2"/>
        <v>0</v>
      </c>
      <c r="I6" s="32">
        <f t="shared" si="3"/>
        <v>0</v>
      </c>
      <c r="J6" s="30">
        <f t="shared" si="4"/>
        <v>10</v>
      </c>
      <c r="K6" s="26" t="str">
        <f t="shared" si="5"/>
        <v/>
      </c>
      <c r="M6" s="58" t="s">
        <v>21</v>
      </c>
      <c r="N6" s="10"/>
      <c r="O6" s="10">
        <v>0</v>
      </c>
      <c r="P6" s="10">
        <v>0</v>
      </c>
      <c r="Q6" s="10">
        <v>1</v>
      </c>
      <c r="R6" s="10">
        <v>2</v>
      </c>
      <c r="S6" s="10">
        <v>2</v>
      </c>
      <c r="T6" s="10">
        <v>2</v>
      </c>
      <c r="U6" s="10">
        <v>14</v>
      </c>
      <c r="V6" s="11">
        <v>10</v>
      </c>
      <c r="W6" s="3">
        <f>SUM(O6:V6)</f>
        <v>31</v>
      </c>
      <c r="Y6" s="22"/>
    </row>
    <row r="7" spans="1:25" s="1" customFormat="1" ht="30" customHeight="1" x14ac:dyDescent="0.4">
      <c r="A7" s="30">
        <v>5</v>
      </c>
      <c r="B7" s="30" t="s">
        <v>0</v>
      </c>
      <c r="C7" s="32">
        <f>INDEX(Strategy!$B$3:$K$32,MATCH(A7,Strategy!$A$3:$A$32,0),MATCH(J6,Strategy!$B$2:$K$2,0))</f>
        <v>15</v>
      </c>
      <c r="D7" s="30" t="s">
        <v>14</v>
      </c>
      <c r="E7" s="31" cm="1">
        <f t="array" ref="E7">IF(ISBLANK(D7),"", MyRand())</f>
        <v>0.30194801092147827</v>
      </c>
      <c r="F7" s="34">
        <f t="shared" si="0"/>
        <v>7</v>
      </c>
      <c r="G7" s="30">
        <f t="shared" si="1"/>
        <v>0</v>
      </c>
      <c r="H7" s="32">
        <f t="shared" si="2"/>
        <v>0</v>
      </c>
      <c r="I7" s="32">
        <f t="shared" si="3"/>
        <v>0</v>
      </c>
      <c r="J7" s="30">
        <f t="shared" si="4"/>
        <v>10</v>
      </c>
      <c r="K7" s="26" t="str">
        <f t="shared" si="5"/>
        <v/>
      </c>
      <c r="M7" s="59"/>
      <c r="N7" s="20" t="s">
        <v>1</v>
      </c>
      <c r="O7" s="12">
        <f t="shared" ref="O7:V7" si="8">O6/$W6</f>
        <v>0</v>
      </c>
      <c r="P7" s="12">
        <f t="shared" si="8"/>
        <v>0</v>
      </c>
      <c r="Q7" s="13">
        <f t="shared" si="8"/>
        <v>3.2258064516129031E-2</v>
      </c>
      <c r="R7" s="13">
        <f t="shared" si="8"/>
        <v>6.4516129032258063E-2</v>
      </c>
      <c r="S7" s="13">
        <f t="shared" si="8"/>
        <v>6.4516129032258063E-2</v>
      </c>
      <c r="T7" s="13">
        <f t="shared" si="8"/>
        <v>6.4516129032258063E-2</v>
      </c>
      <c r="U7" s="13">
        <f t="shared" si="8"/>
        <v>0.45161290322580644</v>
      </c>
      <c r="V7" s="14">
        <f t="shared" si="8"/>
        <v>0.32258064516129031</v>
      </c>
      <c r="Y7" s="22"/>
    </row>
    <row r="8" spans="1:25" s="1" customFormat="1" ht="42.6" thickBot="1" x14ac:dyDescent="0.45">
      <c r="A8" s="30">
        <v>6</v>
      </c>
      <c r="B8" s="30" t="s">
        <v>0</v>
      </c>
      <c r="C8" s="32">
        <f>INDEX(Strategy!$B$3:$K$32,MATCH(A8,Strategy!$A$3:$A$32,0),MATCH(J7,Strategy!$B$2:$K$2,0))</f>
        <v>15</v>
      </c>
      <c r="D8" s="30" t="s">
        <v>14</v>
      </c>
      <c r="E8" s="31" cm="1">
        <f t="array" ref="E8">IF(ISBLANK(D8),"", MyRand())</f>
        <v>0.77474009990692139</v>
      </c>
      <c r="F8" s="34">
        <f t="shared" si="0"/>
        <v>13</v>
      </c>
      <c r="G8" s="30">
        <f t="shared" si="1"/>
        <v>0</v>
      </c>
      <c r="H8" s="32">
        <f t="shared" si="2"/>
        <v>0</v>
      </c>
      <c r="I8" s="32">
        <f t="shared" si="3"/>
        <v>0</v>
      </c>
      <c r="J8" s="30">
        <f t="shared" si="4"/>
        <v>10</v>
      </c>
      <c r="K8" s="26" t="str">
        <f t="shared" si="5"/>
        <v/>
      </c>
      <c r="M8" s="60"/>
      <c r="N8" s="21" t="s">
        <v>8</v>
      </c>
      <c r="O8" s="37">
        <f>O7</f>
        <v>0</v>
      </c>
      <c r="P8" s="37">
        <f>O8+P7</f>
        <v>0</v>
      </c>
      <c r="Q8" s="38">
        <f t="shared" ref="Q8:V8" si="9">P8+Q7</f>
        <v>3.2258064516129031E-2</v>
      </c>
      <c r="R8" s="38">
        <f t="shared" si="9"/>
        <v>9.6774193548387094E-2</v>
      </c>
      <c r="S8" s="38">
        <f t="shared" si="9"/>
        <v>0.16129032258064516</v>
      </c>
      <c r="T8" s="38">
        <f t="shared" si="9"/>
        <v>0.22580645161290322</v>
      </c>
      <c r="U8" s="38">
        <f t="shared" si="9"/>
        <v>0.67741935483870963</v>
      </c>
      <c r="V8" s="39">
        <f t="shared" si="9"/>
        <v>1</v>
      </c>
      <c r="Y8" s="22"/>
    </row>
    <row r="9" spans="1:25" s="1" customFormat="1" ht="21.6" thickTop="1" x14ac:dyDescent="0.4">
      <c r="A9" s="30">
        <v>7</v>
      </c>
      <c r="B9" s="30" t="s">
        <v>0</v>
      </c>
      <c r="C9" s="32">
        <f>INDEX(Strategy!$B$3:$K$32,MATCH(A9,Strategy!$A$3:$A$32,0),MATCH(J8,Strategy!$B$2:$K$2,0))</f>
        <v>15</v>
      </c>
      <c r="D9" s="30" t="s">
        <v>14</v>
      </c>
      <c r="E9" s="31" cm="1">
        <f t="array" ref="E9">IF(ISBLANK(D9),"", MyRand())</f>
        <v>1.4017641544342041E-2</v>
      </c>
      <c r="F9" s="34">
        <f t="shared" si="0"/>
        <v>5</v>
      </c>
      <c r="G9" s="30">
        <f t="shared" si="1"/>
        <v>0</v>
      </c>
      <c r="H9" s="32">
        <f t="shared" si="2"/>
        <v>0</v>
      </c>
      <c r="I9" s="32">
        <f t="shared" si="3"/>
        <v>0</v>
      </c>
      <c r="J9" s="30">
        <f t="shared" si="4"/>
        <v>10</v>
      </c>
      <c r="K9" s="26" t="str">
        <f t="shared" si="5"/>
        <v/>
      </c>
      <c r="L9" s="13"/>
      <c r="M9" s="4"/>
      <c r="N9" s="44">
        <v>1</v>
      </c>
      <c r="O9" s="44">
        <f>1-O8</f>
        <v>1</v>
      </c>
      <c r="P9" s="44">
        <f t="shared" ref="P9:V9" si="10">1-P8</f>
        <v>1</v>
      </c>
      <c r="Q9" s="44">
        <f t="shared" si="10"/>
        <v>0.967741935483871</v>
      </c>
      <c r="R9" s="44">
        <f t="shared" si="10"/>
        <v>0.90322580645161288</v>
      </c>
      <c r="S9" s="44">
        <f t="shared" si="10"/>
        <v>0.83870967741935487</v>
      </c>
      <c r="T9" s="49">
        <f t="shared" si="10"/>
        <v>0.77419354838709675</v>
      </c>
      <c r="U9" s="44">
        <f t="shared" si="10"/>
        <v>0.32258064516129037</v>
      </c>
      <c r="V9" s="44">
        <f t="shared" si="10"/>
        <v>0</v>
      </c>
      <c r="Y9" s="22"/>
    </row>
    <row r="10" spans="1:25" ht="30" customHeight="1" x14ac:dyDescent="0.4">
      <c r="A10" s="30">
        <v>8</v>
      </c>
      <c r="B10" s="30" t="s">
        <v>0</v>
      </c>
      <c r="C10" s="32">
        <f>INDEX(Strategy!$B$3:$K$32,MATCH(A10,Strategy!$A$3:$A$32,0),MATCH(J9,Strategy!$B$2:$K$2,0))</f>
        <v>15</v>
      </c>
      <c r="D10" s="30" t="s">
        <v>14</v>
      </c>
      <c r="E10" s="31" cm="1">
        <f t="array" ref="E10">IF(ISBLANK(D10),"", MyRand())</f>
        <v>0.76072359085083008</v>
      </c>
      <c r="F10" s="34">
        <f t="shared" si="0"/>
        <v>13</v>
      </c>
      <c r="G10" s="30">
        <f t="shared" si="1"/>
        <v>0</v>
      </c>
      <c r="H10" s="32">
        <f t="shared" si="2"/>
        <v>0</v>
      </c>
      <c r="I10" s="32">
        <f t="shared" si="3"/>
        <v>0</v>
      </c>
      <c r="J10" s="30">
        <f t="shared" si="4"/>
        <v>10</v>
      </c>
      <c r="K10" s="26" t="str">
        <f t="shared" si="5"/>
        <v/>
      </c>
      <c r="M10" s="45" t="s">
        <v>23</v>
      </c>
      <c r="N10" s="45">
        <f t="shared" ref="N10:V10" si="11">O2</f>
        <v>5</v>
      </c>
      <c r="O10" s="45">
        <f t="shared" si="11"/>
        <v>7</v>
      </c>
      <c r="P10" s="45">
        <f t="shared" si="11"/>
        <v>9</v>
      </c>
      <c r="Q10" s="45">
        <f t="shared" si="11"/>
        <v>11</v>
      </c>
      <c r="R10" s="45">
        <f t="shared" si="11"/>
        <v>13</v>
      </c>
      <c r="S10" s="45">
        <f t="shared" si="11"/>
        <v>15</v>
      </c>
      <c r="T10" s="50">
        <f t="shared" si="11"/>
        <v>17</v>
      </c>
      <c r="U10" s="45">
        <f t="shared" si="11"/>
        <v>20</v>
      </c>
      <c r="V10" s="45">
        <f t="shared" si="11"/>
        <v>0</v>
      </c>
    </row>
    <row r="11" spans="1:25" ht="30" customHeight="1" x14ac:dyDescent="0.4">
      <c r="A11" s="30">
        <v>9</v>
      </c>
      <c r="B11" s="30" t="s">
        <v>0</v>
      </c>
      <c r="C11" s="32">
        <f>INDEX(Strategy!$B$3:$K$32,MATCH(A11,Strategy!$A$3:$A$32,0),MATCH(J10,Strategy!$B$2:$K$2,0))</f>
        <v>15</v>
      </c>
      <c r="D11" s="30" t="s">
        <v>14</v>
      </c>
      <c r="E11" s="31" cm="1">
        <f t="array" ref="E11">IF(ISBLANK(D11),"", MyRand())</f>
        <v>0.81449002027511597</v>
      </c>
      <c r="F11" s="34">
        <f t="shared" si="0"/>
        <v>15</v>
      </c>
      <c r="G11" s="30">
        <f t="shared" si="1"/>
        <v>1</v>
      </c>
      <c r="H11" s="32">
        <f t="shared" si="2"/>
        <v>15</v>
      </c>
      <c r="I11" s="32">
        <f t="shared" si="3"/>
        <v>15</v>
      </c>
      <c r="J11" s="30">
        <f t="shared" si="4"/>
        <v>9</v>
      </c>
      <c r="K11" s="26" t="str">
        <f t="shared" si="5"/>
        <v/>
      </c>
      <c r="M11" s="4" t="s">
        <v>24</v>
      </c>
      <c r="N11" s="47">
        <f>N10*N9</f>
        <v>5</v>
      </c>
      <c r="O11" s="47">
        <f t="shared" ref="O11:V11" si="12">O10*O9</f>
        <v>7</v>
      </c>
      <c r="P11" s="47">
        <f t="shared" si="12"/>
        <v>9</v>
      </c>
      <c r="Q11" s="47">
        <f t="shared" si="12"/>
        <v>10.64516129032258</v>
      </c>
      <c r="R11" s="47">
        <f t="shared" si="12"/>
        <v>11.741935483870968</v>
      </c>
      <c r="S11" s="47">
        <f t="shared" si="12"/>
        <v>12.580645161290324</v>
      </c>
      <c r="T11" s="48">
        <f t="shared" si="12"/>
        <v>13.161290322580644</v>
      </c>
      <c r="U11" s="47">
        <f t="shared" si="12"/>
        <v>6.4516129032258078</v>
      </c>
      <c r="V11" s="47">
        <f t="shared" si="12"/>
        <v>0</v>
      </c>
    </row>
    <row r="12" spans="1:25" ht="30" customHeight="1" x14ac:dyDescent="0.4">
      <c r="A12" s="30">
        <v>10</v>
      </c>
      <c r="B12" s="30" t="s">
        <v>0</v>
      </c>
      <c r="C12" s="32">
        <f>INDEX(Strategy!$B$3:$K$32,MATCH(A12,Strategy!$A$3:$A$32,0),MATCH(J11,Strategy!$B$2:$K$2,0))</f>
        <v>15</v>
      </c>
      <c r="D12" s="30" t="s">
        <v>14</v>
      </c>
      <c r="E12" s="31" cm="1">
        <f t="array" ref="E12">IF(ISBLANK(D12),"", MyRand())</f>
        <v>0.7090378999710083</v>
      </c>
      <c r="F12" s="34">
        <f t="shared" si="0"/>
        <v>13</v>
      </c>
      <c r="G12" s="30">
        <f t="shared" si="1"/>
        <v>0</v>
      </c>
      <c r="H12" s="32">
        <f t="shared" si="2"/>
        <v>0</v>
      </c>
      <c r="I12" s="32">
        <f t="shared" si="3"/>
        <v>15</v>
      </c>
      <c r="J12" s="30">
        <f t="shared" si="4"/>
        <v>9</v>
      </c>
      <c r="K12" s="26" t="str">
        <f t="shared" si="5"/>
        <v/>
      </c>
    </row>
    <row r="13" spans="1:25" ht="30" customHeight="1" x14ac:dyDescent="0.4">
      <c r="A13" s="30">
        <v>11</v>
      </c>
      <c r="B13" s="30" t="s">
        <v>0</v>
      </c>
      <c r="C13" s="32">
        <f>INDEX(Strategy!$B$3:$K$32,MATCH(A13,Strategy!$A$3:$A$32,0),MATCH(J12,Strategy!$B$2:$K$2,0))</f>
        <v>15</v>
      </c>
      <c r="D13" s="30" t="s">
        <v>14</v>
      </c>
      <c r="E13" s="31" cm="1">
        <f t="array" ref="E13">IF(ISBLANK(D13),"", MyRand())</f>
        <v>4.5352756977081299E-2</v>
      </c>
      <c r="F13" s="34">
        <f t="shared" si="0"/>
        <v>5</v>
      </c>
      <c r="G13" s="30">
        <f t="shared" si="1"/>
        <v>0</v>
      </c>
      <c r="H13" s="32">
        <f t="shared" si="2"/>
        <v>0</v>
      </c>
      <c r="I13" s="32">
        <f t="shared" si="3"/>
        <v>15</v>
      </c>
      <c r="J13" s="30">
        <f t="shared" si="4"/>
        <v>9</v>
      </c>
      <c r="K13" s="26" t="str">
        <f t="shared" si="5"/>
        <v/>
      </c>
      <c r="M13" s="54" t="s">
        <v>28</v>
      </c>
      <c r="N13" s="4">
        <f>Strategy!V32</f>
        <v>160.68</v>
      </c>
      <c r="O13" s="46"/>
      <c r="P13" s="46"/>
      <c r="Q13" s="46"/>
      <c r="R13" s="46"/>
      <c r="S13" s="46"/>
      <c r="T13" s="46"/>
      <c r="U13" s="46"/>
      <c r="V13" s="46"/>
    </row>
    <row r="14" spans="1:25" ht="30" customHeight="1" x14ac:dyDescent="0.4">
      <c r="A14" s="30">
        <v>12</v>
      </c>
      <c r="B14" s="30" t="s">
        <v>0</v>
      </c>
      <c r="C14" s="32">
        <f>INDEX(Strategy!$B$3:$K$32,MATCH(A14,Strategy!$A$3:$A$32,0),MATCH(J13,Strategy!$B$2:$K$2,0))</f>
        <v>15</v>
      </c>
      <c r="D14" s="30" t="s">
        <v>14</v>
      </c>
      <c r="E14" s="31" cm="1">
        <f t="array" ref="E14">IF(ISBLANK(D14),"", MyRand())</f>
        <v>0.4140326976776123</v>
      </c>
      <c r="F14" s="34">
        <f t="shared" si="0"/>
        <v>9</v>
      </c>
      <c r="G14" s="30">
        <f t="shared" si="1"/>
        <v>0</v>
      </c>
      <c r="H14" s="32">
        <f t="shared" si="2"/>
        <v>0</v>
      </c>
      <c r="I14" s="32">
        <f t="shared" si="3"/>
        <v>15</v>
      </c>
      <c r="J14" s="30">
        <f t="shared" si="4"/>
        <v>9</v>
      </c>
      <c r="K14" s="26" t="str">
        <f t="shared" si="5"/>
        <v/>
      </c>
      <c r="M14" s="45"/>
      <c r="N14" s="45"/>
      <c r="O14" s="45"/>
      <c r="P14" s="46"/>
      <c r="Q14" s="45"/>
      <c r="R14" s="45"/>
      <c r="S14" s="45"/>
      <c r="T14" s="45"/>
      <c r="U14" s="45"/>
      <c r="V14" s="45"/>
    </row>
    <row r="15" spans="1:25" ht="30" customHeight="1" x14ac:dyDescent="0.4">
      <c r="A15" s="30">
        <v>13</v>
      </c>
      <c r="B15" s="30" t="s">
        <v>0</v>
      </c>
      <c r="C15" s="32">
        <f>INDEX(Strategy!$B$3:$K$32,MATCH(A15,Strategy!$A$3:$A$32,0),MATCH(J14,Strategy!$B$2:$K$2,0))</f>
        <v>15</v>
      </c>
      <c r="D15" s="30" t="s">
        <v>14</v>
      </c>
      <c r="E15" s="31" cm="1">
        <f t="array" ref="E15">IF(ISBLANK(D15),"", MyRand())</f>
        <v>0.86261934041976929</v>
      </c>
      <c r="F15" s="34">
        <f t="shared" si="0"/>
        <v>15</v>
      </c>
      <c r="G15" s="30">
        <f t="shared" si="1"/>
        <v>1</v>
      </c>
      <c r="H15" s="32">
        <f t="shared" si="2"/>
        <v>15</v>
      </c>
      <c r="I15" s="32">
        <f t="shared" si="3"/>
        <v>30</v>
      </c>
      <c r="J15" s="30">
        <f t="shared" si="4"/>
        <v>8</v>
      </c>
      <c r="K15" s="26" t="str">
        <f t="shared" si="5"/>
        <v/>
      </c>
      <c r="N15" s="47"/>
      <c r="O15" s="47"/>
      <c r="P15" s="46"/>
      <c r="Q15" s="47"/>
      <c r="R15" s="47"/>
      <c r="S15" s="47"/>
      <c r="T15" s="47"/>
      <c r="U15" s="47"/>
      <c r="V15" s="47"/>
    </row>
    <row r="16" spans="1:25" ht="30" customHeight="1" x14ac:dyDescent="0.4">
      <c r="A16" s="30">
        <v>14</v>
      </c>
      <c r="B16" s="30" t="s">
        <v>0</v>
      </c>
      <c r="C16" s="32">
        <f>INDEX(Strategy!$B$3:$K$32,MATCH(A16,Strategy!$A$3:$A$32,0),MATCH(J15,Strategy!$B$2:$K$2,0))</f>
        <v>15</v>
      </c>
      <c r="D16" s="30" t="s">
        <v>14</v>
      </c>
      <c r="E16" s="31" cm="1">
        <f t="array" ref="E16">IF(ISBLANK(D16),"", MyRand())</f>
        <v>0.79048001766204834</v>
      </c>
      <c r="F16" s="34">
        <f t="shared" si="0"/>
        <v>13</v>
      </c>
      <c r="G16" s="30">
        <f t="shared" si="1"/>
        <v>0</v>
      </c>
      <c r="H16" s="32">
        <f t="shared" si="2"/>
        <v>0</v>
      </c>
      <c r="I16" s="32">
        <f t="shared" si="3"/>
        <v>30</v>
      </c>
      <c r="J16" s="30">
        <f t="shared" si="4"/>
        <v>8</v>
      </c>
      <c r="K16" s="26" t="str">
        <f t="shared" si="5"/>
        <v/>
      </c>
    </row>
    <row r="17" spans="1:11" ht="30" customHeight="1" x14ac:dyDescent="0.4">
      <c r="A17" s="30">
        <v>15</v>
      </c>
      <c r="B17" s="30" t="s">
        <v>0</v>
      </c>
      <c r="C17" s="32">
        <f>INDEX(Strategy!$B$3:$K$32,MATCH(A17,Strategy!$A$3:$A$32,0),MATCH(J16,Strategy!$B$2:$K$2,0))</f>
        <v>15</v>
      </c>
      <c r="D17" s="30" t="s">
        <v>14</v>
      </c>
      <c r="E17" s="31" cm="1">
        <f t="array" ref="E17">IF(ISBLANK(D17),"", MyRand())</f>
        <v>0.37353616952896118</v>
      </c>
      <c r="F17" s="34">
        <f t="shared" si="0"/>
        <v>9</v>
      </c>
      <c r="G17" s="30">
        <f t="shared" si="1"/>
        <v>0</v>
      </c>
      <c r="H17" s="32">
        <f t="shared" si="2"/>
        <v>0</v>
      </c>
      <c r="I17" s="32">
        <f t="shared" si="3"/>
        <v>30</v>
      </c>
      <c r="J17" s="30">
        <f t="shared" si="4"/>
        <v>8</v>
      </c>
      <c r="K17" s="26" t="str">
        <f t="shared" si="5"/>
        <v/>
      </c>
    </row>
    <row r="18" spans="1:11" ht="30" customHeight="1" x14ac:dyDescent="0.4">
      <c r="A18" s="30">
        <v>16</v>
      </c>
      <c r="B18" s="30" t="s">
        <v>0</v>
      </c>
      <c r="C18" s="32">
        <f>INDEX(Strategy!$B$3:$K$32,MATCH(A18,Strategy!$A$3:$A$32,0),MATCH(J17,Strategy!$B$2:$K$2,0))</f>
        <v>15</v>
      </c>
      <c r="D18" s="30" t="s">
        <v>14</v>
      </c>
      <c r="E18" s="31" cm="1">
        <f t="array" ref="E18">IF(ISBLANK(D18),"", MyRand())</f>
        <v>0.96195316314697266</v>
      </c>
      <c r="F18" s="34">
        <f t="shared" si="0"/>
        <v>17</v>
      </c>
      <c r="G18" s="30">
        <f t="shared" si="1"/>
        <v>1</v>
      </c>
      <c r="H18" s="32">
        <f t="shared" si="2"/>
        <v>15</v>
      </c>
      <c r="I18" s="32">
        <f t="shared" si="3"/>
        <v>45</v>
      </c>
      <c r="J18" s="30">
        <f t="shared" si="4"/>
        <v>7</v>
      </c>
      <c r="K18" s="26" t="str">
        <f t="shared" si="5"/>
        <v/>
      </c>
    </row>
    <row r="19" spans="1:11" ht="30" customHeight="1" x14ac:dyDescent="0.4">
      <c r="A19" s="30">
        <v>17</v>
      </c>
      <c r="B19" s="30" t="s">
        <v>0</v>
      </c>
      <c r="C19" s="32">
        <f>INDEX(Strategy!$B$3:$K$32,MATCH(A19,Strategy!$A$3:$A$32,0),MATCH(J18,Strategy!$B$2:$K$2,0))</f>
        <v>17</v>
      </c>
      <c r="D19" s="30" t="s">
        <v>14</v>
      </c>
      <c r="E19" s="31" cm="1">
        <f t="array" ref="E19">IF(ISBLANK(D19),"", MyRand())</f>
        <v>0.87144583463668823</v>
      </c>
      <c r="F19" s="34">
        <f t="shared" si="0"/>
        <v>15</v>
      </c>
      <c r="G19" s="30">
        <f t="shared" si="1"/>
        <v>0</v>
      </c>
      <c r="H19" s="32">
        <f t="shared" si="2"/>
        <v>0</v>
      </c>
      <c r="I19" s="32">
        <f t="shared" si="3"/>
        <v>45</v>
      </c>
      <c r="J19" s="30">
        <f t="shared" si="4"/>
        <v>7</v>
      </c>
      <c r="K19" s="26" t="str">
        <f t="shared" si="5"/>
        <v/>
      </c>
    </row>
    <row r="20" spans="1:11" ht="30" customHeight="1" x14ac:dyDescent="0.4">
      <c r="A20" s="30">
        <v>18</v>
      </c>
      <c r="B20" s="30" t="s">
        <v>0</v>
      </c>
      <c r="C20" s="32">
        <f>INDEX(Strategy!$B$3:$K$32,MATCH(A20,Strategy!$A$3:$A$32,0),MATCH(J19,Strategy!$B$2:$K$2,0))</f>
        <v>17</v>
      </c>
      <c r="D20" s="30" t="s">
        <v>14</v>
      </c>
      <c r="E20" s="31" cm="1">
        <f t="array" ref="E20">IF(ISBLANK(D20),"", MyRand())</f>
        <v>5.6236863136291504E-2</v>
      </c>
      <c r="F20" s="34">
        <f t="shared" si="0"/>
        <v>5</v>
      </c>
      <c r="G20" s="30">
        <f t="shared" si="1"/>
        <v>0</v>
      </c>
      <c r="H20" s="32">
        <f t="shared" si="2"/>
        <v>0</v>
      </c>
      <c r="I20" s="32">
        <f t="shared" si="3"/>
        <v>45</v>
      </c>
      <c r="J20" s="30">
        <f t="shared" si="4"/>
        <v>7</v>
      </c>
      <c r="K20" s="26" t="str">
        <f t="shared" si="5"/>
        <v/>
      </c>
    </row>
    <row r="21" spans="1:11" ht="30" customHeight="1" x14ac:dyDescent="0.4">
      <c r="A21" s="30">
        <v>19</v>
      </c>
      <c r="B21" s="30" t="s">
        <v>0</v>
      </c>
      <c r="C21" s="32">
        <f>INDEX(Strategy!$B$3:$K$32,MATCH(A21,Strategy!$A$3:$A$32,0),MATCH(J20,Strategy!$B$2:$K$2,0))</f>
        <v>17</v>
      </c>
      <c r="D21" s="30" t="s">
        <v>14</v>
      </c>
      <c r="E21" s="31" cm="1">
        <f t="array" ref="E21">IF(ISBLANK(D21),"", MyRand())</f>
        <v>0.94955664873123169</v>
      </c>
      <c r="F21" s="34">
        <f t="shared" si="0"/>
        <v>17</v>
      </c>
      <c r="G21" s="30">
        <f t="shared" si="1"/>
        <v>1</v>
      </c>
      <c r="H21" s="32">
        <f t="shared" si="2"/>
        <v>17</v>
      </c>
      <c r="I21" s="32">
        <f t="shared" si="3"/>
        <v>62</v>
      </c>
      <c r="J21" s="30">
        <f t="shared" si="4"/>
        <v>6</v>
      </c>
      <c r="K21" s="26" t="str">
        <f t="shared" si="5"/>
        <v/>
      </c>
    </row>
    <row r="22" spans="1:11" ht="30" customHeight="1" x14ac:dyDescent="0.4">
      <c r="A22" s="30">
        <v>20</v>
      </c>
      <c r="B22" s="30" t="s">
        <v>0</v>
      </c>
      <c r="C22" s="32">
        <f>INDEX(Strategy!$B$3:$K$32,MATCH(A22,Strategy!$A$3:$A$32,0),MATCH(J21,Strategy!$B$2:$K$2,0))</f>
        <v>17</v>
      </c>
      <c r="D22" s="30" t="s">
        <v>14</v>
      </c>
      <c r="E22" s="31" cm="1">
        <f t="array" ref="E22">IF(ISBLANK(D22),"", MyRand())</f>
        <v>0.36401867866516113</v>
      </c>
      <c r="F22" s="34">
        <f t="shared" si="0"/>
        <v>9</v>
      </c>
      <c r="G22" s="30">
        <f t="shared" si="1"/>
        <v>0</v>
      </c>
      <c r="H22" s="32">
        <f t="shared" si="2"/>
        <v>0</v>
      </c>
      <c r="I22" s="32">
        <f t="shared" si="3"/>
        <v>62</v>
      </c>
      <c r="J22" s="30">
        <f t="shared" si="4"/>
        <v>6</v>
      </c>
      <c r="K22" s="26" t="str">
        <f t="shared" si="5"/>
        <v/>
      </c>
    </row>
    <row r="23" spans="1:11" ht="30" customHeight="1" x14ac:dyDescent="0.4">
      <c r="A23" s="27">
        <v>21</v>
      </c>
      <c r="B23" s="27" t="s">
        <v>2</v>
      </c>
      <c r="C23" s="33">
        <f>INDEX(Strategy!$B$3:$K$32,MATCH(A23,Strategy!$A$3:$A$32,0),MATCH(J22,Strategy!$B$2:$K$2,0))</f>
        <v>17</v>
      </c>
      <c r="D23" s="27" t="s">
        <v>14</v>
      </c>
      <c r="E23" s="28" cm="1">
        <f t="array" ref="E23">IF(ISBLANK(D23),"", MyRand())</f>
        <v>0.5248684287071228</v>
      </c>
      <c r="F23" s="41">
        <f>IF(E23="","",
  IF(E23&lt;$O$8,$O$2,
  IF(E23&lt;$P$8,$P$2,
  IF(E23&lt;$Q$8,$Q$2,
  IF(E23&lt;$R$8,$R$2,
  IF(E23&lt;$S$8,$S$2,
  IF(E23&lt;$T$8,$T$2,
  IF(E23&lt;$U$8,$U$2,
  IF(E23&lt;$V$8,$V$2,"Error!")))))))))</f>
        <v>17</v>
      </c>
      <c r="G23" s="27">
        <f t="shared" ref="G23" si="13">IF(D23="Y",IF(AND(C23&lt;=F23,J22&gt;=1),1,0),"")</f>
        <v>1</v>
      </c>
      <c r="H23" s="33">
        <f t="shared" ref="H23" si="14">IF(D23="Y",G23*C23,"")</f>
        <v>17</v>
      </c>
      <c r="I23" s="33">
        <f t="shared" ref="I23" si="15">IF(D23="Y",H23+I22,"")</f>
        <v>79</v>
      </c>
      <c r="J23" s="27">
        <f t="shared" ref="J23" si="16">IF(D23="Y",MAX(0,J22-G23),"")</f>
        <v>5</v>
      </c>
      <c r="K23" s="26" t="str">
        <f t="shared" si="5"/>
        <v/>
      </c>
    </row>
    <row r="24" spans="1:11" ht="30" customHeight="1" x14ac:dyDescent="0.4">
      <c r="A24" s="27">
        <v>22</v>
      </c>
      <c r="B24" s="27" t="s">
        <v>2</v>
      </c>
      <c r="C24" s="33">
        <f>INDEX(Strategy!$B$3:$K$32,MATCH(A24,Strategy!$A$3:$A$32,0),MATCH(J23,Strategy!$B$2:$K$2,0))</f>
        <v>17</v>
      </c>
      <c r="D24" s="27" t="s">
        <v>14</v>
      </c>
      <c r="E24" s="28" cm="1">
        <f t="array" ref="E24">IF(ISBLANK(D24),"", MyRand())</f>
        <v>0.76711165904998779</v>
      </c>
      <c r="F24" s="41">
        <f t="shared" ref="F24:F32" si="17">IF(E24="","",
  IF(E24&lt;$O$8,$O$2,
  IF(E24&lt;$P$8,$P$2,
  IF(E24&lt;$Q$8,$Q$2,
  IF(E24&lt;$R$8,$R$2,
  IF(E24&lt;$S$8,$S$2,
  IF(E24&lt;$T$8,$T$2,
  IF(E24&lt;$U$8,$U$2,
  IF(E24&lt;$V$8,$V$2,"Error!")))))))))</f>
        <v>20</v>
      </c>
      <c r="G24" s="27">
        <f t="shared" ref="G24:G32" si="18">IF(D24="Y",IF(AND(C24&lt;=F24,J23&gt;=1),1,0),"")</f>
        <v>1</v>
      </c>
      <c r="H24" s="33">
        <f t="shared" ref="H24:H32" si="19">IF(D24="Y",G24*C24,"")</f>
        <v>17</v>
      </c>
      <c r="I24" s="33">
        <f t="shared" ref="I24:I32" si="20">IF(D24="Y",H24+I23,"")</f>
        <v>96</v>
      </c>
      <c r="J24" s="27">
        <f t="shared" ref="J24:J32" si="21">IF(D24="Y",MAX(0,J23-G24),"")</f>
        <v>4</v>
      </c>
      <c r="K24" s="26" t="str">
        <f t="shared" si="5"/>
        <v/>
      </c>
    </row>
    <row r="25" spans="1:11" ht="30" customHeight="1" x14ac:dyDescent="0.4">
      <c r="A25" s="27">
        <v>23</v>
      </c>
      <c r="B25" s="27" t="s">
        <v>2</v>
      </c>
      <c r="C25" s="33">
        <f>INDEX(Strategy!$B$3:$K$32,MATCH(A25,Strategy!$A$3:$A$32,0),MATCH(J24,Strategy!$B$2:$K$2,0))</f>
        <v>17</v>
      </c>
      <c r="D25" s="27" t="s">
        <v>14</v>
      </c>
      <c r="E25" s="28" cm="1">
        <f t="array" ref="E25">IF(ISBLANK(D25),"", MyRand())</f>
        <v>5.3504526615142822E-2</v>
      </c>
      <c r="F25" s="41">
        <f t="shared" si="17"/>
        <v>11</v>
      </c>
      <c r="G25" s="27">
        <f t="shared" si="18"/>
        <v>0</v>
      </c>
      <c r="H25" s="33">
        <f t="shared" si="19"/>
        <v>0</v>
      </c>
      <c r="I25" s="33">
        <f t="shared" si="20"/>
        <v>96</v>
      </c>
      <c r="J25" s="27">
        <f t="shared" si="21"/>
        <v>4</v>
      </c>
      <c r="K25" s="26" t="str">
        <f t="shared" si="5"/>
        <v/>
      </c>
    </row>
    <row r="26" spans="1:11" ht="30" customHeight="1" x14ac:dyDescent="0.4">
      <c r="A26" s="27">
        <v>24</v>
      </c>
      <c r="B26" s="27" t="s">
        <v>2</v>
      </c>
      <c r="C26" s="33">
        <f>INDEX(Strategy!$B$3:$K$32,MATCH(A26,Strategy!$A$3:$A$32,0),MATCH(J25,Strategy!$B$2:$K$2,0))</f>
        <v>17</v>
      </c>
      <c r="D26" s="27" t="s">
        <v>14</v>
      </c>
      <c r="E26" s="28" cm="1">
        <f t="array" ref="E26">IF(ISBLANK(D26),"", MyRand())</f>
        <v>0.59245824813842773</v>
      </c>
      <c r="F26" s="41">
        <f t="shared" si="17"/>
        <v>17</v>
      </c>
      <c r="G26" s="27">
        <f t="shared" si="18"/>
        <v>1</v>
      </c>
      <c r="H26" s="33">
        <f t="shared" si="19"/>
        <v>17</v>
      </c>
      <c r="I26" s="33">
        <f t="shared" si="20"/>
        <v>113</v>
      </c>
      <c r="J26" s="27">
        <f t="shared" si="21"/>
        <v>3</v>
      </c>
      <c r="K26" s="26" t="str">
        <f t="shared" si="5"/>
        <v/>
      </c>
    </row>
    <row r="27" spans="1:11" ht="30" customHeight="1" x14ac:dyDescent="0.4">
      <c r="A27" s="27">
        <v>25</v>
      </c>
      <c r="B27" s="27" t="s">
        <v>2</v>
      </c>
      <c r="C27" s="33">
        <f>INDEX(Strategy!$B$3:$K$32,MATCH(A27,Strategy!$A$3:$A$32,0),MATCH(J26,Strategy!$B$2:$K$2,0))</f>
        <v>17</v>
      </c>
      <c r="D27" s="27" t="s">
        <v>14</v>
      </c>
      <c r="E27" s="28" cm="1">
        <f t="array" ref="E27">IF(ISBLANK(D27),"", MyRand())</f>
        <v>0.468700110912323</v>
      </c>
      <c r="F27" s="41">
        <f t="shared" si="17"/>
        <v>17</v>
      </c>
      <c r="G27" s="27">
        <f t="shared" si="18"/>
        <v>1</v>
      </c>
      <c r="H27" s="33">
        <f t="shared" si="19"/>
        <v>17</v>
      </c>
      <c r="I27" s="33">
        <f t="shared" si="20"/>
        <v>130</v>
      </c>
      <c r="J27" s="27">
        <f t="shared" si="21"/>
        <v>2</v>
      </c>
      <c r="K27" s="26" t="str">
        <f>IF(AND(J26=1,J27=0),"Game Over", "")</f>
        <v/>
      </c>
    </row>
    <row r="28" spans="1:11" ht="30" customHeight="1" x14ac:dyDescent="0.4">
      <c r="A28" s="27">
        <v>26</v>
      </c>
      <c r="B28" s="27" t="s">
        <v>2</v>
      </c>
      <c r="C28" s="33">
        <f>INDEX(Strategy!$B$3:$K$32,MATCH(A28,Strategy!$A$3:$A$32,0),MATCH(J27,Strategy!$B$2:$K$2,0))</f>
        <v>20</v>
      </c>
      <c r="D28" s="27" t="s">
        <v>14</v>
      </c>
      <c r="E28" s="28" cm="1">
        <f t="array" ref="E28">IF(ISBLANK(D28),"", MyRand())</f>
        <v>0.29816544055938721</v>
      </c>
      <c r="F28" s="41">
        <f t="shared" si="17"/>
        <v>17</v>
      </c>
      <c r="G28" s="27">
        <f t="shared" si="18"/>
        <v>0</v>
      </c>
      <c r="H28" s="33">
        <f t="shared" si="19"/>
        <v>0</v>
      </c>
      <c r="I28" s="33">
        <f t="shared" si="20"/>
        <v>130</v>
      </c>
      <c r="J28" s="27">
        <f t="shared" si="21"/>
        <v>2</v>
      </c>
      <c r="K28" s="26" t="str">
        <f>IF(AND(J27=1,J28=0),"Game Over", "")</f>
        <v/>
      </c>
    </row>
    <row r="29" spans="1:11" ht="30" customHeight="1" x14ac:dyDescent="0.4">
      <c r="A29" s="27">
        <v>27</v>
      </c>
      <c r="B29" s="27" t="s">
        <v>2</v>
      </c>
      <c r="C29" s="33">
        <f>INDEX(Strategy!$B$3:$K$32,MATCH(A29,Strategy!$A$3:$A$32,0),MATCH(J28,Strategy!$B$2:$K$2,0))</f>
        <v>17</v>
      </c>
      <c r="D29" s="27" t="s">
        <v>14</v>
      </c>
      <c r="E29" s="28" cm="1">
        <f t="array" ref="E29">IF(ISBLANK(D29),"", MyRand())</f>
        <v>0.62269669771194458</v>
      </c>
      <c r="F29" s="41">
        <f t="shared" si="17"/>
        <v>17</v>
      </c>
      <c r="G29" s="27">
        <f t="shared" si="18"/>
        <v>1</v>
      </c>
      <c r="H29" s="33">
        <f t="shared" si="19"/>
        <v>17</v>
      </c>
      <c r="I29" s="33">
        <f t="shared" si="20"/>
        <v>147</v>
      </c>
      <c r="J29" s="27">
        <f t="shared" si="21"/>
        <v>1</v>
      </c>
      <c r="K29" s="26" t="str">
        <f t="shared" ref="K29:K32" si="22">IF(AND(J28=1,J29=0),"Game Over", "")</f>
        <v/>
      </c>
    </row>
    <row r="30" spans="1:11" ht="30" customHeight="1" x14ac:dyDescent="0.4">
      <c r="A30" s="27">
        <v>28</v>
      </c>
      <c r="B30" s="27" t="s">
        <v>2</v>
      </c>
      <c r="C30" s="33">
        <f>INDEX(Strategy!$B$3:$K$32,MATCH(A30,Strategy!$A$3:$A$32,0),MATCH(J29,Strategy!$B$2:$K$2,0))</f>
        <v>20</v>
      </c>
      <c r="D30" s="27" t="s">
        <v>14</v>
      </c>
      <c r="E30" s="28" cm="1">
        <f t="array" ref="E30">IF(ISBLANK(D30),"", MyRand())</f>
        <v>0.64782118797302246</v>
      </c>
      <c r="F30" s="41">
        <f t="shared" si="17"/>
        <v>17</v>
      </c>
      <c r="G30" s="27">
        <f t="shared" si="18"/>
        <v>0</v>
      </c>
      <c r="H30" s="33">
        <f t="shared" si="19"/>
        <v>0</v>
      </c>
      <c r="I30" s="33">
        <f t="shared" si="20"/>
        <v>147</v>
      </c>
      <c r="J30" s="27">
        <f t="shared" si="21"/>
        <v>1</v>
      </c>
      <c r="K30" s="26" t="str">
        <f t="shared" si="22"/>
        <v/>
      </c>
    </row>
    <row r="31" spans="1:11" ht="30" customHeight="1" x14ac:dyDescent="0.4">
      <c r="A31" s="27">
        <v>29</v>
      </c>
      <c r="B31" s="27" t="s">
        <v>2</v>
      </c>
      <c r="C31" s="33">
        <f>INDEX(Strategy!$B$3:$K$32,MATCH(A31,Strategy!$A$3:$A$32,0),MATCH(J30,Strategy!$B$2:$K$2,0))</f>
        <v>17</v>
      </c>
      <c r="D31" s="27" t="s">
        <v>14</v>
      </c>
      <c r="E31" s="28" cm="1">
        <f t="array" ref="E31">IF(ISBLANK(D31),"", MyRand())</f>
        <v>0.26379293203353882</v>
      </c>
      <c r="F31" s="41">
        <f t="shared" si="17"/>
        <v>17</v>
      </c>
      <c r="G31" s="27">
        <f t="shared" si="18"/>
        <v>1</v>
      </c>
      <c r="H31" s="33">
        <f t="shared" si="19"/>
        <v>17</v>
      </c>
      <c r="I31" s="33">
        <f t="shared" si="20"/>
        <v>164</v>
      </c>
      <c r="J31" s="27">
        <f t="shared" si="21"/>
        <v>0</v>
      </c>
      <c r="K31" s="26" t="str">
        <f t="shared" si="22"/>
        <v>Game Over</v>
      </c>
    </row>
    <row r="32" spans="1:11" ht="30" customHeight="1" x14ac:dyDescent="0.4">
      <c r="A32" s="27">
        <v>30</v>
      </c>
      <c r="B32" s="27" t="s">
        <v>2</v>
      </c>
      <c r="C32" s="33" t="e">
        <f>INDEX(Strategy!$B$3:$K$32,MATCH(A32,Strategy!$A$3:$A$32,0),MATCH(J31,Strategy!$B$2:$K$2,0))</f>
        <v>#N/A</v>
      </c>
      <c r="D32" s="27"/>
      <c r="E32" s="28" t="str" cm="1">
        <f t="array" ref="E32">IF(ISBLANK(D32),"", MyRand())</f>
        <v/>
      </c>
      <c r="F32" s="41" t="str">
        <f t="shared" si="17"/>
        <v/>
      </c>
      <c r="G32" s="27" t="str">
        <f t="shared" si="18"/>
        <v/>
      </c>
      <c r="H32" s="33" t="str">
        <f t="shared" si="19"/>
        <v/>
      </c>
      <c r="I32" s="33" t="str">
        <f t="shared" si="20"/>
        <v/>
      </c>
      <c r="J32" s="27" t="str">
        <f t="shared" si="21"/>
        <v/>
      </c>
      <c r="K32" s="26" t="str">
        <f t="shared" si="22"/>
        <v/>
      </c>
    </row>
  </sheetData>
  <mergeCells count="2">
    <mergeCell ref="M3:M5"/>
    <mergeCell ref="M6:M8"/>
  </mergeCells>
  <dataValidations count="1">
    <dataValidation type="list" showInputMessage="1" showErrorMessage="1" sqref="D3:D32" xr:uid="{13151E1D-6391-A04B-9B9B-30A058E46A1F}">
      <formula1>$Y$2:$Y$3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0E7B-2E87-4F8D-A207-AE5EF9ED78E9}">
  <sheetPr codeName="Sheet1"/>
  <dimension ref="A1:V3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2" sqref="B2"/>
    </sheetView>
  </sheetViews>
  <sheetFormatPr defaultRowHeight="15.6" x14ac:dyDescent="0.3"/>
  <sheetData>
    <row r="1" spans="1:22" x14ac:dyDescent="0.3">
      <c r="A1" s="52" t="s">
        <v>23</v>
      </c>
      <c r="B1" t="s">
        <v>27</v>
      </c>
      <c r="L1" s="52" t="s">
        <v>25</v>
      </c>
      <c r="M1" t="s">
        <v>27</v>
      </c>
    </row>
    <row r="2" spans="1:22" x14ac:dyDescent="0.3">
      <c r="A2" t="s">
        <v>26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M2">
        <v>1</v>
      </c>
      <c r="N2">
        <v>2</v>
      </c>
      <c r="O2">
        <v>3</v>
      </c>
      <c r="P2">
        <v>4</v>
      </c>
      <c r="Q2">
        <v>5</v>
      </c>
      <c r="R2">
        <v>6</v>
      </c>
      <c r="S2">
        <v>7</v>
      </c>
      <c r="T2">
        <v>8</v>
      </c>
      <c r="U2">
        <v>9</v>
      </c>
      <c r="V2">
        <v>10</v>
      </c>
    </row>
    <row r="3" spans="1:22" x14ac:dyDescent="0.3">
      <c r="A3" s="53">
        <v>30</v>
      </c>
      <c r="B3">
        <v>17</v>
      </c>
      <c r="C3">
        <v>17</v>
      </c>
      <c r="D3">
        <v>17</v>
      </c>
      <c r="E3">
        <v>17</v>
      </c>
      <c r="F3">
        <v>17</v>
      </c>
      <c r="G3">
        <v>17</v>
      </c>
      <c r="H3">
        <v>17</v>
      </c>
      <c r="I3">
        <v>17</v>
      </c>
      <c r="J3">
        <v>17</v>
      </c>
      <c r="K3">
        <v>17</v>
      </c>
      <c r="M3">
        <v>13.16</v>
      </c>
      <c r="N3">
        <v>13.16</v>
      </c>
      <c r="O3">
        <v>13.16</v>
      </c>
      <c r="P3">
        <v>13.16</v>
      </c>
      <c r="Q3">
        <v>13.16</v>
      </c>
      <c r="R3">
        <v>13.16</v>
      </c>
      <c r="S3">
        <v>13.16</v>
      </c>
      <c r="T3">
        <v>13.16</v>
      </c>
      <c r="U3">
        <v>13.16</v>
      </c>
      <c r="V3">
        <v>13.16</v>
      </c>
    </row>
    <row r="4" spans="1:22" x14ac:dyDescent="0.3">
      <c r="A4" s="53">
        <v>29</v>
      </c>
      <c r="B4">
        <v>17</v>
      </c>
      <c r="C4">
        <v>17</v>
      </c>
      <c r="D4">
        <v>17</v>
      </c>
      <c r="E4">
        <v>17</v>
      </c>
      <c r="F4">
        <v>17</v>
      </c>
      <c r="G4">
        <v>17</v>
      </c>
      <c r="H4">
        <v>17</v>
      </c>
      <c r="I4">
        <v>17</v>
      </c>
      <c r="J4">
        <v>17</v>
      </c>
      <c r="K4">
        <v>17</v>
      </c>
      <c r="M4">
        <v>16.13</v>
      </c>
      <c r="N4">
        <v>26.32</v>
      </c>
      <c r="O4">
        <v>26.32</v>
      </c>
      <c r="P4">
        <v>26.32</v>
      </c>
      <c r="Q4">
        <v>26.32</v>
      </c>
      <c r="R4">
        <v>26.32</v>
      </c>
      <c r="S4">
        <v>26.32</v>
      </c>
      <c r="T4">
        <v>26.32</v>
      </c>
      <c r="U4">
        <v>26.32</v>
      </c>
      <c r="V4">
        <v>26.32</v>
      </c>
    </row>
    <row r="5" spans="1:22" x14ac:dyDescent="0.3">
      <c r="A5" s="53">
        <v>28</v>
      </c>
      <c r="B5">
        <v>20</v>
      </c>
      <c r="C5">
        <v>17</v>
      </c>
      <c r="D5">
        <v>17</v>
      </c>
      <c r="E5">
        <v>17</v>
      </c>
      <c r="F5">
        <v>17</v>
      </c>
      <c r="G5">
        <v>17</v>
      </c>
      <c r="H5">
        <v>17</v>
      </c>
      <c r="I5">
        <v>17</v>
      </c>
      <c r="J5">
        <v>17</v>
      </c>
      <c r="K5">
        <v>17</v>
      </c>
      <c r="M5">
        <v>17.38</v>
      </c>
      <c r="N5">
        <v>31.6</v>
      </c>
      <c r="O5">
        <v>39.479999999999997</v>
      </c>
      <c r="P5">
        <v>39.479999999999997</v>
      </c>
      <c r="Q5">
        <v>39.479999999999997</v>
      </c>
      <c r="R5">
        <v>39.479999999999997</v>
      </c>
      <c r="S5">
        <v>39.479999999999997</v>
      </c>
      <c r="T5">
        <v>39.479999999999997</v>
      </c>
      <c r="U5">
        <v>39.479999999999997</v>
      </c>
      <c r="V5">
        <v>39.479999999999997</v>
      </c>
    </row>
    <row r="6" spans="1:22" x14ac:dyDescent="0.3">
      <c r="A6" s="53">
        <v>27</v>
      </c>
      <c r="B6">
        <v>20</v>
      </c>
      <c r="C6">
        <v>17</v>
      </c>
      <c r="D6">
        <v>17</v>
      </c>
      <c r="E6">
        <v>17</v>
      </c>
      <c r="F6">
        <v>17</v>
      </c>
      <c r="G6">
        <v>17</v>
      </c>
      <c r="H6">
        <v>17</v>
      </c>
      <c r="I6">
        <v>17</v>
      </c>
      <c r="J6">
        <v>17</v>
      </c>
      <c r="K6">
        <v>17</v>
      </c>
      <c r="M6">
        <v>18.23</v>
      </c>
      <c r="N6">
        <v>33.75</v>
      </c>
      <c r="O6">
        <v>46.54</v>
      </c>
      <c r="P6">
        <v>52.65</v>
      </c>
      <c r="Q6">
        <v>52.65</v>
      </c>
      <c r="R6">
        <v>52.65</v>
      </c>
      <c r="S6">
        <v>52.65</v>
      </c>
      <c r="T6">
        <v>52.65</v>
      </c>
      <c r="U6">
        <v>52.65</v>
      </c>
      <c r="V6">
        <v>52.65</v>
      </c>
    </row>
    <row r="7" spans="1:22" x14ac:dyDescent="0.3">
      <c r="A7" s="53">
        <v>26</v>
      </c>
      <c r="B7">
        <v>20</v>
      </c>
      <c r="C7">
        <v>20</v>
      </c>
      <c r="D7">
        <v>17</v>
      </c>
      <c r="E7">
        <v>17</v>
      </c>
      <c r="F7">
        <v>17</v>
      </c>
      <c r="G7">
        <v>17</v>
      </c>
      <c r="H7">
        <v>17</v>
      </c>
      <c r="I7">
        <v>17</v>
      </c>
      <c r="J7">
        <v>17</v>
      </c>
      <c r="K7">
        <v>17</v>
      </c>
      <c r="M7">
        <v>18.8</v>
      </c>
      <c r="N7">
        <v>35.19</v>
      </c>
      <c r="O7">
        <v>49.8</v>
      </c>
      <c r="P7">
        <v>61.08</v>
      </c>
      <c r="Q7">
        <v>65.81</v>
      </c>
      <c r="R7">
        <v>65.81</v>
      </c>
      <c r="S7">
        <v>65.81</v>
      </c>
      <c r="T7">
        <v>65.81</v>
      </c>
      <c r="U7">
        <v>65.81</v>
      </c>
      <c r="V7">
        <v>65.81</v>
      </c>
    </row>
    <row r="8" spans="1:22" x14ac:dyDescent="0.3">
      <c r="A8" s="53">
        <v>25</v>
      </c>
      <c r="B8">
        <v>20</v>
      </c>
      <c r="C8">
        <v>20</v>
      </c>
      <c r="D8">
        <v>17</v>
      </c>
      <c r="E8">
        <v>17</v>
      </c>
      <c r="F8">
        <v>17</v>
      </c>
      <c r="G8">
        <v>17</v>
      </c>
      <c r="H8">
        <v>17</v>
      </c>
      <c r="I8">
        <v>17</v>
      </c>
      <c r="J8">
        <v>17</v>
      </c>
      <c r="K8">
        <v>17</v>
      </c>
      <c r="M8">
        <v>19.190000000000001</v>
      </c>
      <c r="N8">
        <v>36.36</v>
      </c>
      <c r="O8">
        <v>51.65</v>
      </c>
      <c r="P8">
        <v>65.510000000000005</v>
      </c>
      <c r="Q8">
        <v>75.31</v>
      </c>
      <c r="R8">
        <v>78.97</v>
      </c>
      <c r="S8">
        <v>78.97</v>
      </c>
      <c r="T8">
        <v>78.97</v>
      </c>
      <c r="U8">
        <v>78.97</v>
      </c>
      <c r="V8">
        <v>78.97</v>
      </c>
    </row>
    <row r="9" spans="1:22" x14ac:dyDescent="0.3">
      <c r="A9" s="53">
        <v>24</v>
      </c>
      <c r="B9">
        <v>20</v>
      </c>
      <c r="C9">
        <v>20</v>
      </c>
      <c r="D9">
        <v>20</v>
      </c>
      <c r="E9">
        <v>17</v>
      </c>
      <c r="F9">
        <v>17</v>
      </c>
      <c r="G9">
        <v>17</v>
      </c>
      <c r="H9">
        <v>17</v>
      </c>
      <c r="I9">
        <v>17</v>
      </c>
      <c r="J9">
        <v>17</v>
      </c>
      <c r="K9">
        <v>17</v>
      </c>
      <c r="M9">
        <v>19.45</v>
      </c>
      <c r="N9">
        <v>37.270000000000003</v>
      </c>
      <c r="O9">
        <v>53.17</v>
      </c>
      <c r="P9">
        <v>67.94</v>
      </c>
      <c r="Q9">
        <v>80.88</v>
      </c>
      <c r="R9">
        <v>89.3</v>
      </c>
      <c r="S9">
        <v>92.13</v>
      </c>
      <c r="T9">
        <v>92.13</v>
      </c>
      <c r="U9">
        <v>92.13</v>
      </c>
      <c r="V9">
        <v>92.13</v>
      </c>
    </row>
    <row r="10" spans="1:22" x14ac:dyDescent="0.3">
      <c r="A10" s="53">
        <v>23</v>
      </c>
      <c r="B10">
        <v>20</v>
      </c>
      <c r="C10">
        <v>20</v>
      </c>
      <c r="D10">
        <v>20</v>
      </c>
      <c r="E10">
        <v>17</v>
      </c>
      <c r="F10">
        <v>17</v>
      </c>
      <c r="G10">
        <v>17</v>
      </c>
      <c r="H10">
        <v>17</v>
      </c>
      <c r="I10">
        <v>17</v>
      </c>
      <c r="J10">
        <v>17</v>
      </c>
      <c r="K10">
        <v>17</v>
      </c>
      <c r="M10">
        <v>19.63</v>
      </c>
      <c r="N10">
        <v>37.97</v>
      </c>
      <c r="O10">
        <v>54.49</v>
      </c>
      <c r="P10">
        <v>69.67</v>
      </c>
      <c r="Q10">
        <v>84.03</v>
      </c>
      <c r="R10">
        <v>95.94</v>
      </c>
      <c r="S10">
        <v>103.1</v>
      </c>
      <c r="T10">
        <v>105.29</v>
      </c>
      <c r="U10">
        <v>105.29</v>
      </c>
      <c r="V10">
        <v>105.29</v>
      </c>
    </row>
    <row r="11" spans="1:22" x14ac:dyDescent="0.3">
      <c r="A11" s="53">
        <v>22</v>
      </c>
      <c r="B11">
        <v>20</v>
      </c>
      <c r="C11">
        <v>20</v>
      </c>
      <c r="D11">
        <v>20</v>
      </c>
      <c r="E11">
        <v>20</v>
      </c>
      <c r="F11">
        <v>17</v>
      </c>
      <c r="G11">
        <v>17</v>
      </c>
      <c r="H11">
        <v>17</v>
      </c>
      <c r="I11">
        <v>17</v>
      </c>
      <c r="J11">
        <v>17</v>
      </c>
      <c r="K11">
        <v>17</v>
      </c>
      <c r="M11">
        <v>19.75</v>
      </c>
      <c r="N11">
        <v>38.51</v>
      </c>
      <c r="O11">
        <v>55.62</v>
      </c>
      <c r="P11">
        <v>71.22</v>
      </c>
      <c r="Q11">
        <v>86.07</v>
      </c>
      <c r="R11">
        <v>99.88</v>
      </c>
      <c r="S11">
        <v>110.72</v>
      </c>
      <c r="T11">
        <v>116.75</v>
      </c>
      <c r="U11">
        <v>118.45</v>
      </c>
      <c r="V11">
        <v>118.45</v>
      </c>
    </row>
    <row r="12" spans="1:22" x14ac:dyDescent="0.3">
      <c r="A12" s="53">
        <v>21</v>
      </c>
      <c r="B12">
        <v>20</v>
      </c>
      <c r="C12">
        <v>20</v>
      </c>
      <c r="D12">
        <v>20</v>
      </c>
      <c r="E12">
        <v>20</v>
      </c>
      <c r="F12">
        <v>17</v>
      </c>
      <c r="G12">
        <v>17</v>
      </c>
      <c r="H12">
        <v>17</v>
      </c>
      <c r="I12">
        <v>17</v>
      </c>
      <c r="J12">
        <v>17</v>
      </c>
      <c r="K12">
        <v>17</v>
      </c>
      <c r="M12">
        <v>19.829999999999998</v>
      </c>
      <c r="N12">
        <v>38.909999999999997</v>
      </c>
      <c r="O12">
        <v>56.55</v>
      </c>
      <c r="P12">
        <v>72.64</v>
      </c>
      <c r="Q12">
        <v>87.74</v>
      </c>
      <c r="R12">
        <v>102.35</v>
      </c>
      <c r="S12">
        <v>115.49</v>
      </c>
      <c r="T12">
        <v>125.24</v>
      </c>
      <c r="U12">
        <v>130.30000000000001</v>
      </c>
      <c r="V12">
        <v>131.61000000000001</v>
      </c>
    </row>
    <row r="13" spans="1:22" x14ac:dyDescent="0.3">
      <c r="A13" s="51">
        <v>20</v>
      </c>
      <c r="B13">
        <v>20</v>
      </c>
      <c r="C13">
        <v>20</v>
      </c>
      <c r="D13">
        <v>20</v>
      </c>
      <c r="E13">
        <v>20</v>
      </c>
      <c r="F13">
        <v>17</v>
      </c>
      <c r="G13">
        <v>17</v>
      </c>
      <c r="H13">
        <v>17</v>
      </c>
      <c r="I13">
        <v>13</v>
      </c>
      <c r="J13">
        <v>11</v>
      </c>
      <c r="K13">
        <v>9</v>
      </c>
      <c r="M13">
        <v>19.829999999999998</v>
      </c>
      <c r="N13">
        <v>38.94</v>
      </c>
      <c r="O13">
        <v>56.62</v>
      </c>
      <c r="P13">
        <v>72.77</v>
      </c>
      <c r="Q13">
        <v>87.92</v>
      </c>
      <c r="R13">
        <v>102.58</v>
      </c>
      <c r="S13">
        <v>115.86</v>
      </c>
      <c r="T13">
        <v>126.29</v>
      </c>
      <c r="U13">
        <v>133.16999999999999</v>
      </c>
      <c r="V13">
        <v>136.57</v>
      </c>
    </row>
    <row r="14" spans="1:22" x14ac:dyDescent="0.3">
      <c r="A14" s="51">
        <v>19</v>
      </c>
      <c r="B14">
        <v>20</v>
      </c>
      <c r="C14">
        <v>20</v>
      </c>
      <c r="D14">
        <v>20</v>
      </c>
      <c r="E14">
        <v>20</v>
      </c>
      <c r="F14">
        <v>17</v>
      </c>
      <c r="G14">
        <v>17</v>
      </c>
      <c r="H14">
        <v>17</v>
      </c>
      <c r="I14">
        <v>15</v>
      </c>
      <c r="J14">
        <v>11</v>
      </c>
      <c r="K14">
        <v>11</v>
      </c>
      <c r="M14">
        <v>19.84</v>
      </c>
      <c r="N14">
        <v>38.96</v>
      </c>
      <c r="O14">
        <v>56.7</v>
      </c>
      <c r="P14">
        <v>72.89</v>
      </c>
      <c r="Q14">
        <v>88.1</v>
      </c>
      <c r="R14">
        <v>102.81</v>
      </c>
      <c r="S14">
        <v>116.22</v>
      </c>
      <c r="T14">
        <v>127.17</v>
      </c>
      <c r="U14">
        <v>135.16999999999999</v>
      </c>
      <c r="V14">
        <v>140.25</v>
      </c>
    </row>
    <row r="15" spans="1:22" x14ac:dyDescent="0.3">
      <c r="A15" s="51">
        <v>18</v>
      </c>
      <c r="B15">
        <v>20</v>
      </c>
      <c r="C15">
        <v>20</v>
      </c>
      <c r="D15">
        <v>20</v>
      </c>
      <c r="E15">
        <v>20</v>
      </c>
      <c r="F15">
        <v>17</v>
      </c>
      <c r="G15">
        <v>17</v>
      </c>
      <c r="H15">
        <v>17</v>
      </c>
      <c r="I15">
        <v>15</v>
      </c>
      <c r="J15">
        <v>13</v>
      </c>
      <c r="K15">
        <v>11</v>
      </c>
      <c r="M15">
        <v>19.84</v>
      </c>
      <c r="N15">
        <v>38.99</v>
      </c>
      <c r="O15">
        <v>56.77</v>
      </c>
      <c r="P15">
        <v>73.010000000000005</v>
      </c>
      <c r="Q15">
        <v>88.27</v>
      </c>
      <c r="R15">
        <v>103.03</v>
      </c>
      <c r="S15">
        <v>116.57</v>
      </c>
      <c r="T15">
        <v>127.96</v>
      </c>
      <c r="U15">
        <v>136.78</v>
      </c>
      <c r="V15">
        <v>143.11000000000001</v>
      </c>
    </row>
    <row r="16" spans="1:22" x14ac:dyDescent="0.3">
      <c r="A16" s="51">
        <v>17</v>
      </c>
      <c r="B16">
        <v>20</v>
      </c>
      <c r="C16">
        <v>20</v>
      </c>
      <c r="D16">
        <v>20</v>
      </c>
      <c r="E16">
        <v>20</v>
      </c>
      <c r="F16">
        <v>17</v>
      </c>
      <c r="G16">
        <v>17</v>
      </c>
      <c r="H16">
        <v>17</v>
      </c>
      <c r="I16">
        <v>15</v>
      </c>
      <c r="J16">
        <v>13</v>
      </c>
      <c r="K16">
        <v>11</v>
      </c>
      <c r="M16">
        <v>19.850000000000001</v>
      </c>
      <c r="N16">
        <v>39.020000000000003</v>
      </c>
      <c r="O16">
        <v>56.84</v>
      </c>
      <c r="P16">
        <v>73.14</v>
      </c>
      <c r="Q16">
        <v>88.44</v>
      </c>
      <c r="R16">
        <v>103.25</v>
      </c>
      <c r="S16">
        <v>116.9</v>
      </c>
      <c r="T16">
        <v>128.66</v>
      </c>
      <c r="U16">
        <v>138.13</v>
      </c>
      <c r="V16">
        <v>145.37</v>
      </c>
    </row>
    <row r="17" spans="1:22" x14ac:dyDescent="0.3">
      <c r="A17" s="51">
        <v>16</v>
      </c>
      <c r="B17">
        <v>20</v>
      </c>
      <c r="C17">
        <v>20</v>
      </c>
      <c r="D17">
        <v>20</v>
      </c>
      <c r="E17">
        <v>20</v>
      </c>
      <c r="F17">
        <v>17</v>
      </c>
      <c r="G17">
        <v>17</v>
      </c>
      <c r="H17">
        <v>17</v>
      </c>
      <c r="I17">
        <v>15</v>
      </c>
      <c r="J17">
        <v>13</v>
      </c>
      <c r="K17">
        <v>13</v>
      </c>
      <c r="M17">
        <v>19.850000000000001</v>
      </c>
      <c r="N17">
        <v>39.049999999999997</v>
      </c>
      <c r="O17">
        <v>56.91</v>
      </c>
      <c r="P17">
        <v>73.260000000000005</v>
      </c>
      <c r="Q17">
        <v>88.61</v>
      </c>
      <c r="R17">
        <v>103.46</v>
      </c>
      <c r="S17">
        <v>117.23</v>
      </c>
      <c r="T17">
        <v>129.29</v>
      </c>
      <c r="U17">
        <v>139.27000000000001</v>
      </c>
      <c r="V17">
        <v>147.22999999999999</v>
      </c>
    </row>
    <row r="18" spans="1:22" x14ac:dyDescent="0.3">
      <c r="A18" s="51">
        <v>15</v>
      </c>
      <c r="B18">
        <v>20</v>
      </c>
      <c r="C18">
        <v>20</v>
      </c>
      <c r="D18">
        <v>20</v>
      </c>
      <c r="E18">
        <v>20</v>
      </c>
      <c r="F18">
        <v>17</v>
      </c>
      <c r="G18">
        <v>17</v>
      </c>
      <c r="H18">
        <v>17</v>
      </c>
      <c r="I18">
        <v>15</v>
      </c>
      <c r="J18">
        <v>13</v>
      </c>
      <c r="K18">
        <v>13</v>
      </c>
      <c r="M18">
        <v>19.86</v>
      </c>
      <c r="N18">
        <v>39.07</v>
      </c>
      <c r="O18">
        <v>56.98</v>
      </c>
      <c r="P18">
        <v>73.37</v>
      </c>
      <c r="Q18">
        <v>88.77</v>
      </c>
      <c r="R18">
        <v>103.67</v>
      </c>
      <c r="S18">
        <v>117.54</v>
      </c>
      <c r="T18">
        <v>129.85</v>
      </c>
      <c r="U18">
        <v>140.24</v>
      </c>
      <c r="V18">
        <v>148.85</v>
      </c>
    </row>
    <row r="19" spans="1:22" x14ac:dyDescent="0.3">
      <c r="A19" s="51">
        <v>14</v>
      </c>
      <c r="B19">
        <v>20</v>
      </c>
      <c r="C19">
        <v>20</v>
      </c>
      <c r="D19">
        <v>20</v>
      </c>
      <c r="E19">
        <v>20</v>
      </c>
      <c r="F19">
        <v>17</v>
      </c>
      <c r="G19">
        <v>17</v>
      </c>
      <c r="H19">
        <v>17</v>
      </c>
      <c r="I19">
        <v>15</v>
      </c>
      <c r="J19">
        <v>15</v>
      </c>
      <c r="K19">
        <v>13</v>
      </c>
      <c r="M19">
        <v>19.86</v>
      </c>
      <c r="N19">
        <v>39.1</v>
      </c>
      <c r="O19">
        <v>57.05</v>
      </c>
      <c r="P19">
        <v>73.489999999999995</v>
      </c>
      <c r="Q19">
        <v>88.92</v>
      </c>
      <c r="R19">
        <v>103.87</v>
      </c>
      <c r="S19">
        <v>117.84</v>
      </c>
      <c r="T19">
        <v>130.37</v>
      </c>
      <c r="U19">
        <v>141.13</v>
      </c>
      <c r="V19">
        <v>150.27000000000001</v>
      </c>
    </row>
    <row r="20" spans="1:22" x14ac:dyDescent="0.3">
      <c r="A20" s="51">
        <v>13</v>
      </c>
      <c r="B20">
        <v>20</v>
      </c>
      <c r="C20">
        <v>20</v>
      </c>
      <c r="D20">
        <v>20</v>
      </c>
      <c r="E20">
        <v>20</v>
      </c>
      <c r="F20">
        <v>17</v>
      </c>
      <c r="G20">
        <v>17</v>
      </c>
      <c r="H20">
        <v>17</v>
      </c>
      <c r="I20">
        <v>15</v>
      </c>
      <c r="J20">
        <v>15</v>
      </c>
      <c r="K20">
        <v>13</v>
      </c>
      <c r="M20">
        <v>19.87</v>
      </c>
      <c r="N20">
        <v>39.119999999999997</v>
      </c>
      <c r="O20">
        <v>57.12</v>
      </c>
      <c r="P20">
        <v>73.599999999999994</v>
      </c>
      <c r="Q20">
        <v>89.07</v>
      </c>
      <c r="R20">
        <v>104.07</v>
      </c>
      <c r="S20">
        <v>118.14</v>
      </c>
      <c r="T20">
        <v>130.85</v>
      </c>
      <c r="U20">
        <v>141.94999999999999</v>
      </c>
      <c r="V20">
        <v>151.52000000000001</v>
      </c>
    </row>
    <row r="21" spans="1:22" x14ac:dyDescent="0.3">
      <c r="A21" s="51">
        <v>12</v>
      </c>
      <c r="B21">
        <v>20</v>
      </c>
      <c r="C21">
        <v>20</v>
      </c>
      <c r="D21">
        <v>20</v>
      </c>
      <c r="E21">
        <v>20</v>
      </c>
      <c r="F21">
        <v>17</v>
      </c>
      <c r="G21">
        <v>17</v>
      </c>
      <c r="H21">
        <v>17</v>
      </c>
      <c r="I21">
        <v>15</v>
      </c>
      <c r="J21">
        <v>15</v>
      </c>
      <c r="K21">
        <v>13</v>
      </c>
      <c r="M21">
        <v>19.87</v>
      </c>
      <c r="N21">
        <v>39.15</v>
      </c>
      <c r="O21">
        <v>57.18</v>
      </c>
      <c r="P21">
        <v>73.72</v>
      </c>
      <c r="Q21">
        <v>89.22</v>
      </c>
      <c r="R21">
        <v>104.26</v>
      </c>
      <c r="S21">
        <v>118.42</v>
      </c>
      <c r="T21">
        <v>131.29</v>
      </c>
      <c r="U21">
        <v>142.71</v>
      </c>
      <c r="V21">
        <v>152.63</v>
      </c>
    </row>
    <row r="22" spans="1:22" x14ac:dyDescent="0.3">
      <c r="A22" s="51">
        <v>11</v>
      </c>
      <c r="B22">
        <v>20</v>
      </c>
      <c r="C22">
        <v>20</v>
      </c>
      <c r="D22">
        <v>20</v>
      </c>
      <c r="E22">
        <v>20</v>
      </c>
      <c r="F22">
        <v>20</v>
      </c>
      <c r="G22">
        <v>17</v>
      </c>
      <c r="H22">
        <v>17</v>
      </c>
      <c r="I22">
        <v>15</v>
      </c>
      <c r="J22">
        <v>15</v>
      </c>
      <c r="K22">
        <v>13</v>
      </c>
      <c r="M22">
        <v>19.88</v>
      </c>
      <c r="N22">
        <v>39.17</v>
      </c>
      <c r="O22">
        <v>57.24</v>
      </c>
      <c r="P22">
        <v>73.83</v>
      </c>
      <c r="Q22">
        <v>89.37</v>
      </c>
      <c r="R22">
        <v>104.45</v>
      </c>
      <c r="S22">
        <v>118.69</v>
      </c>
      <c r="T22">
        <v>131.71</v>
      </c>
      <c r="U22">
        <v>143.4</v>
      </c>
      <c r="V22">
        <v>153.62</v>
      </c>
    </row>
    <row r="23" spans="1:22" x14ac:dyDescent="0.3">
      <c r="A23" s="51">
        <v>10</v>
      </c>
      <c r="B23">
        <v>20</v>
      </c>
      <c r="C23">
        <v>20</v>
      </c>
      <c r="D23">
        <v>20</v>
      </c>
      <c r="E23">
        <v>20</v>
      </c>
      <c r="F23">
        <v>20</v>
      </c>
      <c r="G23">
        <v>17</v>
      </c>
      <c r="H23">
        <v>17</v>
      </c>
      <c r="I23">
        <v>17</v>
      </c>
      <c r="J23">
        <v>15</v>
      </c>
      <c r="K23">
        <v>15</v>
      </c>
      <c r="M23">
        <v>19.88</v>
      </c>
      <c r="N23">
        <v>39.19</v>
      </c>
      <c r="O23">
        <v>57.31</v>
      </c>
      <c r="P23">
        <v>73.94</v>
      </c>
      <c r="Q23">
        <v>89.51</v>
      </c>
      <c r="R23">
        <v>104.64</v>
      </c>
      <c r="S23">
        <v>118.96</v>
      </c>
      <c r="T23">
        <v>132.09</v>
      </c>
      <c r="U23">
        <v>144.04</v>
      </c>
      <c r="V23">
        <v>154.55000000000001</v>
      </c>
    </row>
    <row r="24" spans="1:22" x14ac:dyDescent="0.3">
      <c r="A24" s="51">
        <v>9</v>
      </c>
      <c r="B24">
        <v>0</v>
      </c>
      <c r="C24">
        <v>20</v>
      </c>
      <c r="D24">
        <v>20</v>
      </c>
      <c r="E24">
        <v>20</v>
      </c>
      <c r="F24">
        <v>20</v>
      </c>
      <c r="G24">
        <v>17</v>
      </c>
      <c r="H24">
        <v>17</v>
      </c>
      <c r="I24">
        <v>17</v>
      </c>
      <c r="J24">
        <v>15</v>
      </c>
      <c r="K24">
        <v>15</v>
      </c>
      <c r="M24">
        <v>0</v>
      </c>
      <c r="N24">
        <v>39.22</v>
      </c>
      <c r="O24">
        <v>57.37</v>
      </c>
      <c r="P24">
        <v>74.05</v>
      </c>
      <c r="Q24">
        <v>89.65</v>
      </c>
      <c r="R24">
        <v>104.82</v>
      </c>
      <c r="S24">
        <v>119.22</v>
      </c>
      <c r="T24">
        <v>132.47</v>
      </c>
      <c r="U24">
        <v>144.63</v>
      </c>
      <c r="V24">
        <v>155.41999999999999</v>
      </c>
    </row>
    <row r="25" spans="1:22" x14ac:dyDescent="0.3">
      <c r="A25" s="51">
        <v>8</v>
      </c>
      <c r="B25">
        <v>0</v>
      </c>
      <c r="C25">
        <v>0</v>
      </c>
      <c r="D25">
        <v>20</v>
      </c>
      <c r="E25">
        <v>20</v>
      </c>
      <c r="F25">
        <v>20</v>
      </c>
      <c r="G25">
        <v>17</v>
      </c>
      <c r="H25">
        <v>17</v>
      </c>
      <c r="I25">
        <v>17</v>
      </c>
      <c r="J25">
        <v>15</v>
      </c>
      <c r="K25">
        <v>15</v>
      </c>
      <c r="M25">
        <v>0</v>
      </c>
      <c r="N25">
        <v>0</v>
      </c>
      <c r="O25">
        <v>57.43</v>
      </c>
      <c r="P25">
        <v>74.16</v>
      </c>
      <c r="Q25">
        <v>89.8</v>
      </c>
      <c r="R25">
        <v>105</v>
      </c>
      <c r="S25">
        <v>119.47</v>
      </c>
      <c r="T25">
        <v>132.83000000000001</v>
      </c>
      <c r="U25">
        <v>145.18</v>
      </c>
      <c r="V25">
        <v>156.22999999999999</v>
      </c>
    </row>
    <row r="26" spans="1:22" x14ac:dyDescent="0.3">
      <c r="A26" s="51">
        <v>7</v>
      </c>
      <c r="B26">
        <v>0</v>
      </c>
      <c r="C26">
        <v>0</v>
      </c>
      <c r="D26">
        <v>0</v>
      </c>
      <c r="E26">
        <v>20</v>
      </c>
      <c r="F26">
        <v>20</v>
      </c>
      <c r="G26">
        <v>17</v>
      </c>
      <c r="H26">
        <v>17</v>
      </c>
      <c r="I26">
        <v>17</v>
      </c>
      <c r="J26">
        <v>15</v>
      </c>
      <c r="K26">
        <v>15</v>
      </c>
      <c r="M26">
        <v>0</v>
      </c>
      <c r="N26">
        <v>0</v>
      </c>
      <c r="O26">
        <v>0</v>
      </c>
      <c r="P26">
        <v>74.260000000000005</v>
      </c>
      <c r="Q26">
        <v>89.94</v>
      </c>
      <c r="R26">
        <v>105.17</v>
      </c>
      <c r="S26">
        <v>119.72</v>
      </c>
      <c r="T26">
        <v>133.18</v>
      </c>
      <c r="U26">
        <v>145.69</v>
      </c>
      <c r="V26">
        <v>157</v>
      </c>
    </row>
    <row r="27" spans="1:22" x14ac:dyDescent="0.3">
      <c r="A27" s="51">
        <v>6</v>
      </c>
      <c r="B27">
        <v>0</v>
      </c>
      <c r="C27">
        <v>0</v>
      </c>
      <c r="D27">
        <v>0</v>
      </c>
      <c r="E27">
        <v>0</v>
      </c>
      <c r="F27">
        <v>20</v>
      </c>
      <c r="G27">
        <v>17</v>
      </c>
      <c r="H27">
        <v>17</v>
      </c>
      <c r="I27">
        <v>17</v>
      </c>
      <c r="J27">
        <v>15</v>
      </c>
      <c r="K27">
        <v>15</v>
      </c>
      <c r="M27">
        <v>0</v>
      </c>
      <c r="N27">
        <v>0</v>
      </c>
      <c r="O27">
        <v>0</v>
      </c>
      <c r="P27">
        <v>0</v>
      </c>
      <c r="Q27">
        <v>90.08</v>
      </c>
      <c r="R27">
        <v>105.34</v>
      </c>
      <c r="S27">
        <v>119.95</v>
      </c>
      <c r="T27">
        <v>133.52000000000001</v>
      </c>
      <c r="U27">
        <v>146.18</v>
      </c>
      <c r="V27">
        <v>157.71</v>
      </c>
    </row>
    <row r="28" spans="1:22" x14ac:dyDescent="0.3">
      <c r="A28" s="51">
        <v>5</v>
      </c>
      <c r="B28">
        <v>0</v>
      </c>
      <c r="C28">
        <v>0</v>
      </c>
      <c r="D28">
        <v>0</v>
      </c>
      <c r="E28">
        <v>0</v>
      </c>
      <c r="F28">
        <v>0</v>
      </c>
      <c r="G28">
        <v>17</v>
      </c>
      <c r="H28">
        <v>17</v>
      </c>
      <c r="I28">
        <v>17</v>
      </c>
      <c r="J28">
        <v>15</v>
      </c>
      <c r="K28">
        <v>15</v>
      </c>
      <c r="M28">
        <v>0</v>
      </c>
      <c r="N28">
        <v>0</v>
      </c>
      <c r="O28">
        <v>0</v>
      </c>
      <c r="P28">
        <v>0</v>
      </c>
      <c r="Q28">
        <v>0</v>
      </c>
      <c r="R28">
        <v>105.51</v>
      </c>
      <c r="S28">
        <v>120.19</v>
      </c>
      <c r="T28">
        <v>133.86000000000001</v>
      </c>
      <c r="U28">
        <v>146.63</v>
      </c>
      <c r="V28">
        <v>158.38</v>
      </c>
    </row>
    <row r="29" spans="1:22" x14ac:dyDescent="0.3">
      <c r="A29" s="51">
        <v>4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17</v>
      </c>
      <c r="I29">
        <v>17</v>
      </c>
      <c r="J29">
        <v>15</v>
      </c>
      <c r="K29">
        <v>15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120.41</v>
      </c>
      <c r="T29">
        <v>134.18</v>
      </c>
      <c r="U29">
        <v>147.06</v>
      </c>
      <c r="V29">
        <v>159.01</v>
      </c>
    </row>
    <row r="30" spans="1:22" x14ac:dyDescent="0.3">
      <c r="A30" s="51">
        <v>3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17</v>
      </c>
      <c r="J30">
        <v>15</v>
      </c>
      <c r="K30">
        <v>15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134.49</v>
      </c>
      <c r="U30">
        <v>147.47</v>
      </c>
      <c r="V30">
        <v>159.6</v>
      </c>
    </row>
    <row r="31" spans="1:22" x14ac:dyDescent="0.3">
      <c r="A31" s="51">
        <v>2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15</v>
      </c>
      <c r="K31">
        <v>15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147.86000000000001</v>
      </c>
      <c r="V31">
        <v>160.16</v>
      </c>
    </row>
    <row r="32" spans="1:22" x14ac:dyDescent="0.3">
      <c r="A32" s="51">
        <v>1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15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160.68</v>
      </c>
    </row>
  </sheetData>
  <pageMargins left="0.7" right="0.7" top="0.75" bottom="0.75" header="0.3" footer="0.3"/>
  <pageSetup paperSize="9"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61559D0-A252-4CAC-8669-CC91E5D14AC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Simulator</vt:lpstr>
      <vt:lpstr>Strategy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paatrus paatrus</dc:creator>
  <cp:lastModifiedBy>Wenzhi Ding</cp:lastModifiedBy>
  <dcterms:created xsi:type="dcterms:W3CDTF">2020-12-15T20:11:11Z</dcterms:created>
  <dcterms:modified xsi:type="dcterms:W3CDTF">2021-01-28T17:13:44Z</dcterms:modified>
</cp:coreProperties>
</file>